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fileSharing readOnlyRecommended="1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anacl\Downloads\Trabalho Wilian\SUBSTITUIDOS\21-07\"/>
    </mc:Choice>
  </mc:AlternateContent>
  <xr:revisionPtr revIDLastSave="0" documentId="13_ncr:1_{EF8106CA-D560-4566-BE5A-366DC5E1A002}" xr6:coauthVersionLast="47" xr6:coauthVersionMax="47" xr10:uidLastSave="{00000000-0000-0000-0000-000000000000}"/>
  <bookViews>
    <workbookView xWindow="-28920" yWindow="-120" windowWidth="29040" windowHeight="15720" tabRatio="917" firstSheet="3" activeTab="3" xr2:uid="{00000000-000D-0000-FFFF-FFFF00000000}"/>
  </bookViews>
  <sheets>
    <sheet name="laroux" sheetId="23" state="veryHidden" r:id=""/>
    <sheet name="DADOS DE LIQUIDAÇÃO" sheetId="115" state="hidden" r:id="rId1"/>
    <sheet name="BUSCA" sheetId="97" state="hidden" r:id="rId2"/>
    <sheet name="LEVANTAMENTO DADOS" sheetId="48" r:id="rId3"/>
    <sheet name="DANOS MORAIS COM JUROS" sheetId="107" state="hidden" r:id="rId4"/>
    <sheet name="TABELA DE JUROS SELIC" sheetId="127" state="hidden" r:id="rId5"/>
    <sheet name="BASE DE CALCULO IR" sheetId="120" state="hidden" r:id="rId6"/>
    <sheet name="JUROS SOBRE IR" sheetId="119" state="hidden" r:id="rId7"/>
    <sheet name="IRR MES A MES  C_PROVENTOS" sheetId="111" state="hidden" r:id="rId8"/>
    <sheet name="IR TOTAL" sheetId="113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01_02_1996">"DSRS"</definedName>
    <definedName name="_16_02_93" localSheetId="8">[1]Evolução!$A$5</definedName>
    <definedName name="_16_02_93">[2]Evolução!$A$5</definedName>
    <definedName name="_art477">#REF!</definedName>
    <definedName name="_xlnm._FilterDatabase" localSheetId="6" hidden="1">'BASE DE CALCULO IR'!#REF!</definedName>
    <definedName name="_xlnm._FilterDatabase" localSheetId="8" hidden="1">'IRR MES A MES  C_PROVENTOS'!$A$1:$A$92</definedName>
    <definedName name="_xlnm._FilterDatabase" localSheetId="3" hidden="1">'LEVANTAMENTO DADOS'!#REF!</definedName>
    <definedName name="_Key1" hidden="1">#REF!</definedName>
    <definedName name="_Key2" hidden="1">#REF!</definedName>
    <definedName name="_Order1" hidden="1">0</definedName>
    <definedName name="_Order2" hidden="1">0</definedName>
    <definedName name="_Sort" hidden="1">#REF!</definedName>
    <definedName name="aa" localSheetId="8">'[3]Ref_HE(2)'!$L$27</definedName>
    <definedName name="aa">'[4]Ref_HE(2)'!$L$27</definedName>
    <definedName name="aacontador" localSheetId="8">[1]cont!$D$17</definedName>
    <definedName name="aacontador">[2]cont!$D$17</definedName>
    <definedName name="aasalario">#REF!</definedName>
    <definedName name="aaviso">#REF!</definedName>
    <definedName name="adecimo">#REF!</definedName>
    <definedName name="adic_dom">#REF!</definedName>
    <definedName name="adic_nt">#REF!</definedName>
    <definedName name="adic_sem">#REF!</definedName>
    <definedName name="adicional">#REF!</definedName>
    <definedName name="adicional_nt">#REF!</definedName>
    <definedName name="aferias">#REF!</definedName>
    <definedName name="ajuiz">#REF!</definedName>
    <definedName name="amulta477">#REF!</definedName>
    <definedName name="AREA">#REF!</definedName>
    <definedName name="AREA_ADICNT" localSheetId="8">[5]Inicio!#REF!</definedName>
    <definedName name="AREA_ADICNT">#REF!</definedName>
    <definedName name="_xlnm.Print_Area" localSheetId="6">'BASE DE CALCULO IR'!$A$1:$W$89</definedName>
    <definedName name="_xlnm.Print_Area" localSheetId="1">'DADOS DE LIQUIDAÇÃO'!$A$1:$G$108</definedName>
    <definedName name="_xlnm.Print_Area" localSheetId="4">'DANOS MORAIS COM JUROS'!$A$1:$G$9</definedName>
    <definedName name="_xlnm.Print_Area" localSheetId="8">'IRR MES A MES  C_PROVENTOS'!$B$1:$AH$92</definedName>
    <definedName name="_xlnm.Print_Area" localSheetId="7">'JUROS SOBRE IR'!$A$1:$F$65</definedName>
    <definedName name="_xlnm.Print_Area" localSheetId="3">'LEVANTAMENTO DADOS'!$A$4:$AB$72</definedName>
    <definedName name="AREA_FGTS" localSheetId="8">[5]Inicio!#REF!</definedName>
    <definedName name="AREA_FGTS">#REF!</definedName>
    <definedName name="AREA1">#REF!</definedName>
    <definedName name="area2">#REF!</definedName>
    <definedName name="asegurodes">#REF!</definedName>
    <definedName name="atuaização">#REF!</definedName>
    <definedName name="ATUALIZ">#REF!</definedName>
    <definedName name="atualização">#REF!</definedName>
    <definedName name="autor" localSheetId="8">[5]Inicio!#REF!</definedName>
    <definedName name="autor">#REF!</definedName>
    <definedName name="aviso">#REF!</definedName>
    <definedName name="avisohe2" localSheetId="8">[5]REF_HE_DOM_FER!#REF!</definedName>
    <definedName name="avisohe2">#REF!</definedName>
    <definedName name="avisohe3">#REF!</definedName>
    <definedName name="BANCO">#REF!</definedName>
    <definedName name="_xlnm.Database">[6]cruz!#REF!</definedName>
    <definedName name="bbb" localSheetId="8">'[3]Ref_HE(3)'!$L$26</definedName>
    <definedName name="bbb">'[4]Ref_HE(3)'!$L$26</definedName>
    <definedName name="CABEÇALHO" localSheetId="8">[5]RESUMO!#REF!</definedName>
    <definedName name="CABEÇALHO">#REF!</definedName>
    <definedName name="cm" localSheetId="8">[5]Inicio!#REF!</definedName>
    <definedName name="cm">#REF!</definedName>
    <definedName name="cm_1" localSheetId="8">[5]Inicio!#REF!</definedName>
    <definedName name="cm_1">#REF!</definedName>
    <definedName name="coluna">#REF!</definedName>
    <definedName name="cond">#REF!</definedName>
    <definedName name="contador" localSheetId="8">[1]cont!$E$8</definedName>
    <definedName name="contador">[2]cont!$E$8</definedName>
    <definedName name="contador1" localSheetId="8">[1]cont!$E$10</definedName>
    <definedName name="contador1">[2]cont!$E$10</definedName>
    <definedName name="contador2" localSheetId="8">[1]cont!$E$12</definedName>
    <definedName name="contador2">[2]cont!$E$12</definedName>
    <definedName name="correção">#REF!</definedName>
    <definedName name="_xlnm.Criteria" localSheetId="6">'BASE DE CALCULO IR'!$A$8:$A$55</definedName>
    <definedName name="_xlnm.Criteria">[6]cruz!#REF!</definedName>
    <definedName name="Data_atualização">#REF!</definedName>
    <definedName name="data_calc">#REF!</definedName>
    <definedName name="DATAS">#REF!</definedName>
    <definedName name="dec" localSheetId="8">[5]Inicio!$D$28</definedName>
    <definedName name="dec">#REF!</definedName>
    <definedName name="DEC_IRRF" localSheetId="8">[5]Inicio!#REF!</definedName>
    <definedName name="DEC_IRRF">#REF!</definedName>
    <definedName name="deche2" localSheetId="8">[5]REF_HE_DOM_FER!#REF!</definedName>
    <definedName name="deche2">#REF!</definedName>
    <definedName name="deche3">#REF!</definedName>
    <definedName name="DECIMO">#REF!</definedName>
    <definedName name="decimo_terceiro">#REF!</definedName>
    <definedName name="ded_irrf">#REF!</definedName>
    <definedName name="dep">#REF!</definedName>
    <definedName name="DESC_INSS">#REF!</definedName>
    <definedName name="DEVOL">#REF!</definedName>
    <definedName name="DIA">#REF!</definedName>
    <definedName name="diferença_sal" localSheetId="8">#REF!</definedName>
    <definedName name="diferença_sal">#REF!</definedName>
    <definedName name="diferença_salario" localSheetId="8">#REF!</definedName>
    <definedName name="diferença_salario">#REF!</definedName>
    <definedName name="divisor">#REF!</definedName>
    <definedName name="DSR.C">#REF!</definedName>
    <definedName name="DSR_C" localSheetId="6">DSR.C</definedName>
    <definedName name="DSR_C">DSR.C</definedName>
    <definedName name="dsrs">#REF!</definedName>
    <definedName name="DT_INICIAL" localSheetId="8">[5]Inicio!$D$17</definedName>
    <definedName name="DT_INICIAL">#REF!</definedName>
    <definedName name="DU" localSheetId="6">'BASE DE CALCULO IR'!DU</definedName>
    <definedName name="DU" localSheetId="8">'IRR MES A MES  C_PROVENTOS'!DU</definedName>
    <definedName name="DU">DU</definedName>
    <definedName name="ESPECIAL">#REF!</definedName>
    <definedName name="evol_sal">#REF!</definedName>
    <definedName name="FATOR_CORREÇÃO">#REF!</definedName>
    <definedName name="fer">#REF!</definedName>
    <definedName name="ferhe2" localSheetId="8">[5]REF_HE_DOM_FER!#REF!</definedName>
    <definedName name="ferhe2">#REF!</definedName>
    <definedName name="ferhe3">#REF!</definedName>
    <definedName name="ferias" localSheetId="8">'[5]REFLEXOS HE +RSR'!#REF!</definedName>
    <definedName name="ferias">#REF!</definedName>
    <definedName name="fgts">#REF!</definedName>
    <definedName name="FGTS_DEV">#REF!</definedName>
    <definedName name="fim" localSheetId="8">[5]Inicio!$D$18</definedName>
    <definedName name="fim">#REF!</definedName>
    <definedName name="FPAS">#REF!</definedName>
    <definedName name="_xlnm.Recorder">#REF!</definedName>
    <definedName name="hd_comp">#REF!</definedName>
    <definedName name="he_not">#REF!</definedName>
    <definedName name="hon_adv">#REF!</definedName>
    <definedName name="HONORARIOS" localSheetId="8">[5]Inicio!#REF!</definedName>
    <definedName name="HONORARIOS">#REF!</definedName>
    <definedName name="honorários" localSheetId="8">[5]Inicio!#REF!</definedName>
    <definedName name="honorários">#REF!</definedName>
    <definedName name="horaextra_1">#REF!</definedName>
    <definedName name="HORAEXTRA_2">#REF!</definedName>
    <definedName name="HORAEXTRA_3">#REF!</definedName>
    <definedName name="inicio">#REF!</definedName>
    <definedName name="INPC">#REF!</definedName>
    <definedName name="INSAL">#REF!</definedName>
    <definedName name="INSS" localSheetId="8">[5]RESUMO!#REF!</definedName>
    <definedName name="INSS">#REF!</definedName>
    <definedName name="inss_ded" localSheetId="6">'BASE DE CALCULO IR'!#REF!</definedName>
    <definedName name="inss_ded">#REF!</definedName>
    <definedName name="INSS1" localSheetId="8">[5]RESUMO!#REF!</definedName>
    <definedName name="INSS1">#REF!</definedName>
    <definedName name="inssmes">#REF!</definedName>
    <definedName name="IRRF" localSheetId="8">[5]Inicio!#REF!</definedName>
    <definedName name="IRRF">#REF!</definedName>
    <definedName name="IRRF_JUROS" localSheetId="8">[5]Inicio!#REF!</definedName>
    <definedName name="IRRF_JUROS">#REF!</definedName>
    <definedName name="IRRF_SOBRE_JUROS">#REF!</definedName>
    <definedName name="irrf1">#REF!</definedName>
    <definedName name="JUNTAS">#REF!</definedName>
    <definedName name="JUROS">#REF!</definedName>
    <definedName name="JUROS........." localSheetId="6">TX_JUROS</definedName>
    <definedName name="JUROS........." localSheetId="8">TX_JUROS</definedName>
    <definedName name="JUROS.........">TX_JUROS</definedName>
    <definedName name="Macro1" description="Macro gravada em 13/06/96 por MARCOSCARVALHO" xlm="1">#REF!</definedName>
    <definedName name="MÁXIMO">#REF!</definedName>
    <definedName name="MINIMO">#REF!</definedName>
    <definedName name="NÃO_DEFERIDO" localSheetId="8">[5]Inicio!#REF!</definedName>
    <definedName name="NÃO_DEFERIDO">#REF!</definedName>
    <definedName name="novor" localSheetId="8">[7]Evolução!$A$5</definedName>
    <definedName name="novor">[8]Evolução!$A$5</definedName>
    <definedName name="num_hd">#REF!</definedName>
    <definedName name="NUMERO">#REF!</definedName>
    <definedName name="PAR_SEG_DES">#REF!</definedName>
    <definedName name="processo">#REF!</definedName>
    <definedName name="QUANT">#REF!</definedName>
    <definedName name="reclamada" localSheetId="8">[5]Inicio!#REF!</definedName>
    <definedName name="reclamada">#REF!</definedName>
    <definedName name="refl_aviso">#REF!</definedName>
    <definedName name="reflexos">#REF!</definedName>
    <definedName name="REP.C">#REF!</definedName>
    <definedName name="RESAVS">#REF!</definedName>
    <definedName name="RESDEC">#REF!</definedName>
    <definedName name="RESFER">#REF!</definedName>
    <definedName name="resumo">#REF!</definedName>
    <definedName name="SALARIO">#REF!</definedName>
    <definedName name="Salário_Mínimo" localSheetId="6">PISO_RURAL</definedName>
    <definedName name="Salário_Mínimo" localSheetId="8">PISO_RURAL</definedName>
    <definedName name="Salário_Mínimo">PISO_RURAL</definedName>
    <definedName name="SD">#REF!</definedName>
    <definedName name="SEG_VIDA">#REF!</definedName>
    <definedName name="segdes" localSheetId="8">'[5]SEGURO DESEMPREGO'!#REF!</definedName>
    <definedName name="segdes">#REF!</definedName>
    <definedName name="solver_cvg" localSheetId="3" hidden="1">0.0001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in" localSheetId="3" hidden="1">2</definedName>
    <definedName name="solver_neg" localSheetId="3" hidden="1">2</definedName>
    <definedName name="solver_num" localSheetId="3" hidden="1">0</definedName>
    <definedName name="solver_nwt" localSheetId="3" hidden="1">1</definedName>
    <definedName name="solver_opt" localSheetId="3" hidden="1">'LEVANTAMENTO DADOS'!#REF!</definedName>
    <definedName name="solver_pre" localSheetId="3" hidden="1">0.000001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0.05</definedName>
    <definedName name="solver_typ" localSheetId="3" hidden="1">1</definedName>
    <definedName name="solver_val" localSheetId="3" hidden="1">0</definedName>
    <definedName name="SV">#REF!</definedName>
    <definedName name="TAB_FER">#REF!</definedName>
    <definedName name="tipo">#REF!</definedName>
    <definedName name="tipo_inss" localSheetId="8">[5]Inicio!#REF!</definedName>
    <definedName name="tipo_inss">#REF!</definedName>
    <definedName name="tipp_inss" localSheetId="8">[5]Inicio!#REF!</definedName>
    <definedName name="tipp_inss">#REF!</definedName>
    <definedName name="_xlnm.Print_Titles" localSheetId="6">'BASE DE CALCULO IR'!$7:$7</definedName>
    <definedName name="_xlnm.Print_Titles" localSheetId="3">'LEVANTAMENTO DADOS'!$A:$A,'LEVANTAMENTO DADOS'!$4:$4</definedName>
    <definedName name="total">#REF!</definedName>
    <definedName name="TOTALVERBAS">#REF!</definedName>
    <definedName name="valores" localSheetId="8">'[5]REFLEXOS HE +RSR'!#REF!</definedName>
    <definedName name="valores">#REF!</definedName>
    <definedName name="Valores_em_Reais" localSheetId="6">verbas</definedName>
    <definedName name="Valores_em_Reais" localSheetId="8">verbas</definedName>
    <definedName name="Valores_em_Reais">verbas</definedName>
    <definedName name="valores1" localSheetId="8">[5]REF_HE_DOM_FER!#REF!</definedName>
    <definedName name="valores1">#REF!</definedName>
    <definedName name="ver_hd">#REF!</definedName>
    <definedName name="verba">#REF!</definedName>
    <definedName name="xx" localSheetId="8">'[3]Ref_HE(1)'!$L$27</definedName>
    <definedName name="xx">'[4]Ref_HE(1)'!$L$27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8" i="48" l="1"/>
  <c r="AB29" i="48"/>
  <c r="AB30" i="48"/>
  <c r="AB31" i="48"/>
  <c r="AB32" i="48"/>
  <c r="AB33" i="48"/>
  <c r="AB34" i="48"/>
  <c r="AB35" i="48"/>
  <c r="AB36" i="48"/>
  <c r="AB37" i="48"/>
  <c r="AB38" i="48"/>
  <c r="AB39" i="48"/>
  <c r="AB40" i="48"/>
  <c r="AB41" i="48"/>
  <c r="AB42" i="48"/>
  <c r="Z44" i="48"/>
  <c r="Z45" i="48"/>
  <c r="Z46" i="48"/>
  <c r="Z47" i="48"/>
  <c r="Z48" i="48"/>
  <c r="Z49" i="48"/>
  <c r="Z50" i="48"/>
  <c r="Z51" i="48"/>
  <c r="Z52" i="48"/>
  <c r="Z53" i="48"/>
  <c r="Z54" i="48"/>
  <c r="Z55" i="48"/>
  <c r="Z56" i="48"/>
  <c r="Z57" i="48"/>
  <c r="Z58" i="48"/>
  <c r="Z59" i="48"/>
  <c r="Z60" i="48"/>
  <c r="Z61" i="48"/>
  <c r="Z62" i="48"/>
  <c r="Z63" i="48"/>
  <c r="Z64" i="48"/>
  <c r="Z65" i="48"/>
  <c r="Z43" i="48"/>
  <c r="Z37" i="48"/>
  <c r="Z38" i="48"/>
  <c r="Z17" i="48"/>
  <c r="Z18" i="48"/>
  <c r="Z19" i="48"/>
  <c r="Z20" i="48"/>
  <c r="Z21" i="48"/>
  <c r="Z22" i="48"/>
  <c r="Z23" i="48"/>
  <c r="Z24" i="48"/>
  <c r="Z25" i="48"/>
  <c r="Z26" i="48"/>
  <c r="Z27" i="48"/>
  <c r="Z28" i="48"/>
  <c r="Z29" i="48"/>
  <c r="Z30" i="48"/>
  <c r="Z31" i="48"/>
  <c r="Z32" i="48"/>
  <c r="Z33" i="48"/>
  <c r="Z34" i="48"/>
  <c r="Z35" i="48"/>
  <c r="Z36" i="48"/>
  <c r="Z39" i="48"/>
  <c r="Z40" i="48"/>
  <c r="Z41" i="48"/>
  <c r="Z42" i="48"/>
  <c r="Z16" i="48"/>
  <c r="AB65" i="48"/>
  <c r="AB64" i="48"/>
  <c r="AB63" i="48"/>
  <c r="AB62" i="48"/>
  <c r="AB61" i="48"/>
  <c r="AB60" i="48"/>
  <c r="AB59" i="48"/>
  <c r="AB58" i="48"/>
  <c r="AB57" i="48"/>
  <c r="AB56" i="48"/>
  <c r="AB55" i="48"/>
  <c r="AB54" i="48"/>
  <c r="AB53" i="48"/>
  <c r="AB52" i="48"/>
  <c r="AB51" i="48"/>
  <c r="AB50" i="48"/>
  <c r="AB49" i="48"/>
  <c r="AB48" i="48"/>
  <c r="AB47" i="48"/>
  <c r="AB46" i="48"/>
  <c r="AB45" i="48"/>
  <c r="AB44" i="48"/>
  <c r="AB43" i="48"/>
  <c r="AB7" i="48" l="1"/>
  <c r="AB8" i="48"/>
  <c r="AB9" i="48"/>
  <c r="AB10" i="48"/>
  <c r="AB11" i="48"/>
  <c r="AB12" i="48"/>
  <c r="AB13" i="48"/>
  <c r="AB14" i="48"/>
  <c r="AB15" i="48"/>
  <c r="AB16" i="48"/>
  <c r="AB17" i="48"/>
  <c r="AB18" i="48"/>
  <c r="AB19" i="48"/>
  <c r="AB20" i="48"/>
  <c r="AB21" i="48"/>
  <c r="AB22" i="48"/>
  <c r="AB23" i="48"/>
  <c r="AB24" i="48"/>
  <c r="AB25" i="48"/>
  <c r="AB26" i="48"/>
  <c r="AB27" i="48"/>
  <c r="AB6" i="48"/>
  <c r="AB5" i="48"/>
  <c r="Z10" i="48"/>
  <c r="Z11" i="48"/>
  <c r="Z12" i="48"/>
  <c r="Z13" i="48"/>
  <c r="Z14" i="48"/>
  <c r="Z15" i="48"/>
  <c r="Z9" i="48"/>
  <c r="Z8" i="48"/>
  <c r="Z7" i="48"/>
  <c r="Z6" i="48"/>
  <c r="Z5" i="48"/>
  <c r="C2" i="97" l="1"/>
  <c r="D8" i="120"/>
  <c r="E8" i="120"/>
  <c r="F8" i="120"/>
  <c r="E9" i="120"/>
  <c r="E10" i="120"/>
  <c r="F11" i="120"/>
  <c r="F13" i="120"/>
  <c r="E14" i="120"/>
  <c r="F14" i="120"/>
  <c r="F16" i="120"/>
  <c r="E18" i="120"/>
  <c r="F18" i="120"/>
  <c r="F19" i="120"/>
  <c r="E20" i="120"/>
  <c r="E23" i="120"/>
  <c r="E24" i="120"/>
  <c r="F25" i="120"/>
  <c r="E26" i="120"/>
  <c r="E27" i="120"/>
  <c r="F27" i="120"/>
  <c r="F28" i="120"/>
  <c r="F29" i="120"/>
  <c r="E30" i="120"/>
  <c r="E31" i="120"/>
  <c r="E32" i="120"/>
  <c r="F32" i="120"/>
  <c r="F33" i="120"/>
  <c r="E34" i="120"/>
  <c r="F34" i="120"/>
  <c r="F37" i="120"/>
  <c r="F38" i="120"/>
  <c r="E41" i="120"/>
  <c r="F43" i="120"/>
  <c r="E46" i="120"/>
  <c r="F47" i="120"/>
  <c r="E48" i="120"/>
  <c r="F51" i="120"/>
  <c r="F53" i="120"/>
  <c r="E56" i="120"/>
  <c r="E58" i="120"/>
  <c r="F65" i="120"/>
  <c r="F66" i="120"/>
  <c r="C71" i="111"/>
  <c r="B71" i="111"/>
  <c r="AX71" i="111" s="1"/>
  <c r="C72" i="111"/>
  <c r="C73" i="111"/>
  <c r="C74" i="111"/>
  <c r="O76" i="120"/>
  <c r="P76" i="120"/>
  <c r="Q76" i="120"/>
  <c r="U76" i="120"/>
  <c r="C75" i="111"/>
  <c r="C79" i="111"/>
  <c r="B79" i="111"/>
  <c r="BC79" i="111" s="1"/>
  <c r="C80" i="111"/>
  <c r="B80" i="111"/>
  <c r="AW80" i="111" s="1"/>
  <c r="Y80" i="111" s="1"/>
  <c r="C81" i="111"/>
  <c r="C82" i="111"/>
  <c r="B82" i="111"/>
  <c r="AW82" i="111" s="1"/>
  <c r="Y82" i="111" s="1"/>
  <c r="C83" i="111"/>
  <c r="C84" i="111"/>
  <c r="D84" i="111"/>
  <c r="F41" i="119"/>
  <c r="F42" i="119"/>
  <c r="F43" i="119"/>
  <c r="F44" i="119"/>
  <c r="F45" i="119"/>
  <c r="F54" i="119"/>
  <c r="B88" i="111"/>
  <c r="BI88" i="111" s="1"/>
  <c r="G44" i="113"/>
  <c r="G67" i="113"/>
  <c r="B18" i="115"/>
  <c r="A8" i="120"/>
  <c r="A9" i="120" s="1"/>
  <c r="A10" i="120" s="1"/>
  <c r="A11" i="120" s="1"/>
  <c r="A12" i="120" s="1"/>
  <c r="A13" i="120" s="1"/>
  <c r="A14" i="120" s="1"/>
  <c r="A15" i="120" s="1"/>
  <c r="A16" i="120" s="1"/>
  <c r="A17" i="120" s="1"/>
  <c r="A18" i="120" s="1"/>
  <c r="A19" i="120" s="1"/>
  <c r="A20" i="120" s="1"/>
  <c r="A21" i="120" s="1"/>
  <c r="A22" i="120" s="1"/>
  <c r="A23" i="120" s="1"/>
  <c r="A24" i="120" s="1"/>
  <c r="A25" i="120" s="1"/>
  <c r="A26" i="120" s="1"/>
  <c r="A27" i="120" s="1"/>
  <c r="A28" i="120" s="1"/>
  <c r="A29" i="120" s="1"/>
  <c r="A30" i="120" s="1"/>
  <c r="A31" i="120" s="1"/>
  <c r="A32" i="120" s="1"/>
  <c r="A33" i="120" s="1"/>
  <c r="A34" i="120" s="1"/>
  <c r="A35" i="120" s="1"/>
  <c r="A36" i="120" s="1"/>
  <c r="A37" i="120" s="1"/>
  <c r="A38" i="120" s="1"/>
  <c r="A39" i="120" s="1"/>
  <c r="A40" i="120" s="1"/>
  <c r="A41" i="120" s="1"/>
  <c r="A42" i="120" s="1"/>
  <c r="A43" i="120" s="1"/>
  <c r="A44" i="120" s="1"/>
  <c r="A45" i="120" s="1"/>
  <c r="A46" i="120" s="1"/>
  <c r="A47" i="120" s="1"/>
  <c r="A48" i="120" s="1"/>
  <c r="A49" i="120" s="1"/>
  <c r="A50" i="120" s="1"/>
  <c r="A51" i="120" s="1"/>
  <c r="A52" i="120" s="1"/>
  <c r="A53" i="120" s="1"/>
  <c r="A54" i="120" s="1"/>
  <c r="A55" i="120" s="1"/>
  <c r="A56" i="120" s="1"/>
  <c r="A57" i="120" s="1"/>
  <c r="A58" i="120" s="1"/>
  <c r="A59" i="120" s="1"/>
  <c r="A60" i="120" s="1"/>
  <c r="A61" i="120" s="1"/>
  <c r="A62" i="120" s="1"/>
  <c r="A63" i="120" s="1"/>
  <c r="A64" i="120" s="1"/>
  <c r="A65" i="120" s="1"/>
  <c r="A66" i="120" s="1"/>
  <c r="A67" i="120" s="1"/>
  <c r="A71" i="120"/>
  <c r="A80" i="120"/>
  <c r="A82" i="120"/>
  <c r="A83" i="120"/>
  <c r="A84" i="120"/>
  <c r="A60" i="119"/>
  <c r="A59" i="119"/>
  <c r="A56" i="119"/>
  <c r="A41" i="119"/>
  <c r="A42" i="119"/>
  <c r="A43" i="119"/>
  <c r="A44" i="119"/>
  <c r="A45" i="119"/>
  <c r="A50" i="119"/>
  <c r="A51" i="119"/>
  <c r="A52" i="119"/>
  <c r="A53" i="119"/>
  <c r="A54" i="119"/>
  <c r="I9" i="119"/>
  <c r="I54" i="119"/>
  <c r="I55" i="119"/>
  <c r="I57" i="119"/>
  <c r="I58" i="119"/>
  <c r="AG88" i="111"/>
  <c r="B17" i="115"/>
  <c r="B16" i="115"/>
  <c r="A3" i="115"/>
  <c r="B12" i="115"/>
  <c r="BG82" i="111"/>
  <c r="BI82" i="111"/>
  <c r="BK82" i="111"/>
  <c r="BO82" i="111"/>
  <c r="AJ82" i="111"/>
  <c r="BD82" i="111"/>
  <c r="BF82" i="111"/>
  <c r="BS82" i="111"/>
  <c r="BT82" i="111"/>
  <c r="BU82" i="111"/>
  <c r="BW82" i="111"/>
  <c r="BX82" i="111"/>
  <c r="BY82" i="111"/>
  <c r="CA82" i="111"/>
  <c r="CB82" i="111"/>
  <c r="A70" i="111"/>
  <c r="A78" i="111"/>
  <c r="A1" i="115"/>
  <c r="B15" i="115"/>
  <c r="B11" i="115"/>
  <c r="B8" i="115"/>
  <c r="B7" i="115"/>
  <c r="A67" i="113"/>
  <c r="A46" i="113"/>
  <c r="A44" i="113"/>
  <c r="A23" i="113"/>
  <c r="A22" i="113"/>
  <c r="G16" i="113"/>
  <c r="G17" i="113"/>
  <c r="G18" i="113"/>
  <c r="G19" i="113"/>
  <c r="G20" i="113"/>
  <c r="G23" i="113"/>
  <c r="AL5" i="111"/>
  <c r="AL7" i="111" s="1"/>
  <c r="AK7" i="111"/>
  <c r="AA70" i="111"/>
  <c r="AI71" i="111"/>
  <c r="U71" i="111" s="1"/>
  <c r="BB71" i="111"/>
  <c r="BC71" i="111"/>
  <c r="BE71" i="111"/>
  <c r="BI71" i="111"/>
  <c r="BK71" i="111"/>
  <c r="BM71" i="111"/>
  <c r="AJ71" i="111"/>
  <c r="BA71" i="111"/>
  <c r="BF71" i="111"/>
  <c r="BH71" i="111"/>
  <c r="BJ71" i="111"/>
  <c r="BN71" i="111"/>
  <c r="BP71" i="111"/>
  <c r="BQ71" i="111"/>
  <c r="BU71" i="111"/>
  <c r="BV71" i="111"/>
  <c r="BX71" i="111"/>
  <c r="BY71" i="111"/>
  <c r="BZ71" i="111"/>
  <c r="CB71" i="111"/>
  <c r="CC71" i="111"/>
  <c r="AA78" i="111"/>
  <c r="BB79" i="111"/>
  <c r="BN79" i="111"/>
  <c r="AX80" i="111"/>
  <c r="AZ80" i="111"/>
  <c r="BA80" i="111"/>
  <c r="BD80" i="111"/>
  <c r="BV80" i="111"/>
  <c r="BW80" i="111"/>
  <c r="C6" i="107"/>
  <c r="E6" i="107" s="1"/>
  <c r="G6" i="107" s="1"/>
  <c r="G9" i="107" s="1"/>
  <c r="C14" i="111"/>
  <c r="C15" i="111"/>
  <c r="C16" i="111"/>
  <c r="C20" i="111"/>
  <c r="C22" i="111"/>
  <c r="C26" i="111"/>
  <c r="C27" i="111"/>
  <c r="C28" i="111"/>
  <c r="C31" i="111"/>
  <c r="C32" i="111"/>
  <c r="C44" i="111"/>
  <c r="C47" i="111"/>
  <c r="C60" i="111"/>
  <c r="G261" i="97"/>
  <c r="G262" i="97" s="1"/>
  <c r="G263" i="97" s="1"/>
  <c r="G264" i="97" s="1"/>
  <c r="G265" i="97" s="1"/>
  <c r="G266" i="97" s="1"/>
  <c r="G267" i="97" s="1"/>
  <c r="G268" i="97" s="1"/>
  <c r="G269" i="97" s="1"/>
  <c r="G270" i="97" s="1"/>
  <c r="G271" i="97" s="1"/>
  <c r="G272" i="97" s="1"/>
  <c r="G273" i="97" s="1"/>
  <c r="G274" i="97" s="1"/>
  <c r="G275" i="97" s="1"/>
  <c r="G276" i="97" s="1"/>
  <c r="G277" i="97" s="1"/>
  <c r="G278" i="97" s="1"/>
  <c r="G279" i="97" s="1"/>
  <c r="G280" i="97" s="1"/>
  <c r="G281" i="97" s="1"/>
  <c r="G282" i="97" s="1"/>
  <c r="G283" i="97" s="1"/>
  <c r="G284" i="97" s="1"/>
  <c r="G285" i="97" s="1"/>
  <c r="G286" i="97" s="1"/>
  <c r="G287" i="97" s="1"/>
  <c r="G288" i="97" s="1"/>
  <c r="G289" i="97" s="1"/>
  <c r="G290" i="97" s="1"/>
  <c r="G291" i="97" s="1"/>
  <c r="G292" i="97" s="1"/>
  <c r="G293" i="97" s="1"/>
  <c r="G294" i="97" s="1"/>
  <c r="G295" i="97" s="1"/>
  <c r="G296" i="97" s="1"/>
  <c r="G297" i="97" s="1"/>
  <c r="G298" i="97" s="1"/>
  <c r="G299" i="97" s="1"/>
  <c r="G300" i="97" s="1"/>
  <c r="G301" i="97" s="1"/>
  <c r="G302" i="97" s="1"/>
  <c r="G303" i="97" s="1"/>
  <c r="G304" i="97" s="1"/>
  <c r="G305" i="97" s="1"/>
  <c r="G306" i="97" s="1"/>
  <c r="G307" i="97" s="1"/>
  <c r="G308" i="97" s="1"/>
  <c r="B2" i="97"/>
  <c r="E9" i="107"/>
  <c r="C55" i="111"/>
  <c r="C39" i="111"/>
  <c r="C23" i="111"/>
  <c r="C58" i="111"/>
  <c r="C64" i="111"/>
  <c r="C56" i="111"/>
  <c r="F59" i="120"/>
  <c r="E51" i="120"/>
  <c r="E49" i="120"/>
  <c r="E43" i="120"/>
  <c r="E40" i="120"/>
  <c r="BX88" i="111"/>
  <c r="BT88" i="111"/>
  <c r="BD88" i="111"/>
  <c r="F67" i="120"/>
  <c r="CA88" i="111"/>
  <c r="BW88" i="111"/>
  <c r="BQ88" i="111"/>
  <c r="BJ88" i="111"/>
  <c r="BA88" i="111"/>
  <c r="BP88" i="111"/>
  <c r="BH88" i="111"/>
  <c r="AY88" i="111"/>
  <c r="F64" i="120"/>
  <c r="F60" i="120"/>
  <c r="F58" i="120"/>
  <c r="F50" i="120"/>
  <c r="F48" i="120"/>
  <c r="F39" i="120"/>
  <c r="AW71" i="111"/>
  <c r="Y71" i="111" s="1"/>
  <c r="E66" i="120"/>
  <c r="E65" i="120"/>
  <c r="E64" i="120"/>
  <c r="E62" i="120"/>
  <c r="E61" i="120"/>
  <c r="E60" i="120"/>
  <c r="F57" i="120"/>
  <c r="F55" i="120"/>
  <c r="F52" i="120"/>
  <c r="F46" i="120"/>
  <c r="F44" i="120"/>
  <c r="F41" i="120"/>
  <c r="E36" i="120"/>
  <c r="E53" i="120"/>
  <c r="E47" i="120"/>
  <c r="E45" i="120"/>
  <c r="E42" i="120"/>
  <c r="B8" i="111"/>
  <c r="AX8" i="111" s="1"/>
  <c r="E59" i="120"/>
  <c r="E57" i="120"/>
  <c r="E55" i="120"/>
  <c r="B11" i="111"/>
  <c r="BD11" i="111" s="1"/>
  <c r="B9" i="111"/>
  <c r="BT9" i="111" s="1"/>
  <c r="BH9" i="111"/>
  <c r="BJ9" i="111"/>
  <c r="BW9" i="111"/>
  <c r="BV9" i="111"/>
  <c r="AX9" i="111"/>
  <c r="B67" i="111"/>
  <c r="BD67" i="111" s="1"/>
  <c r="AX79" i="111" l="1"/>
  <c r="CB79" i="111"/>
  <c r="BF79" i="111"/>
  <c r="BZ79" i="111"/>
  <c r="AY79" i="111"/>
  <c r="BV79" i="111"/>
  <c r="BM79" i="111"/>
  <c r="BJ79" i="111"/>
  <c r="AI79" i="111"/>
  <c r="U79" i="111" s="1"/>
  <c r="BX79" i="111"/>
  <c r="AJ79" i="111"/>
  <c r="BV8" i="111"/>
  <c r="BG8" i="111"/>
  <c r="AW79" i="111"/>
  <c r="Y79" i="111" s="1"/>
  <c r="BU79" i="111"/>
  <c r="BK79" i="111"/>
  <c r="BP82" i="111"/>
  <c r="BC82" i="111"/>
  <c r="BN82" i="111"/>
  <c r="BB82" i="111"/>
  <c r="CC79" i="111"/>
  <c r="BA79" i="111"/>
  <c r="BY79" i="111"/>
  <c r="BZ8" i="111"/>
  <c r="BL82" i="111"/>
  <c r="AZ82" i="111"/>
  <c r="BH79" i="111"/>
  <c r="BT79" i="111"/>
  <c r="BI79" i="111"/>
  <c r="BM8" i="111"/>
  <c r="BQ79" i="111"/>
  <c r="BE79" i="111"/>
  <c r="BG9" i="111"/>
  <c r="BP79" i="111"/>
  <c r="CC82" i="111"/>
  <c r="BH82" i="111"/>
  <c r="AI82" i="111"/>
  <c r="U82" i="111" s="1"/>
  <c r="AY82" i="111"/>
  <c r="BO88" i="111"/>
  <c r="BT80" i="111"/>
  <c r="AJ80" i="111"/>
  <c r="A80" i="111"/>
  <c r="BC9" i="111"/>
  <c r="BX8" i="111"/>
  <c r="BS80" i="111"/>
  <c r="BO80" i="111"/>
  <c r="BQ80" i="111"/>
  <c r="BM80" i="111"/>
  <c r="BL11" i="111"/>
  <c r="AY9" i="111"/>
  <c r="BD8" i="111"/>
  <c r="CB80" i="111"/>
  <c r="BN80" i="111"/>
  <c r="BG80" i="111"/>
  <c r="BY88" i="111"/>
  <c r="AW9" i="111"/>
  <c r="Y9" i="111" s="1"/>
  <c r="CC8" i="111"/>
  <c r="CA80" i="111"/>
  <c r="BJ80" i="111"/>
  <c r="BE80" i="111"/>
  <c r="BU88" i="111"/>
  <c r="BQ8" i="111"/>
  <c r="BX80" i="111"/>
  <c r="BF80" i="111"/>
  <c r="BB80" i="111"/>
  <c r="C51" i="111"/>
  <c r="C11" i="111"/>
  <c r="C43" i="111"/>
  <c r="C35" i="111"/>
  <c r="F56" i="120"/>
  <c r="E67" i="120"/>
  <c r="E63" i="120"/>
  <c r="F54" i="120"/>
  <c r="F9" i="120"/>
  <c r="E54" i="120"/>
  <c r="F10" i="120"/>
  <c r="BQ9" i="111"/>
  <c r="CC9" i="111"/>
  <c r="BX9" i="111"/>
  <c r="J54" i="119"/>
  <c r="U84" i="120"/>
  <c r="F35" i="120"/>
  <c r="E12" i="120"/>
  <c r="O84" i="120"/>
  <c r="D67" i="120"/>
  <c r="E50" i="120"/>
  <c r="BC88" i="111"/>
  <c r="F63" i="120"/>
  <c r="F62" i="120"/>
  <c r="BN9" i="111"/>
  <c r="BE8" i="111"/>
  <c r="BZ88" i="111"/>
  <c r="BB88" i="111"/>
  <c r="CB88" i="111"/>
  <c r="CB67" i="111"/>
  <c r="BY9" i="111"/>
  <c r="BZ9" i="111"/>
  <c r="BL9" i="111"/>
  <c r="AY8" i="111"/>
  <c r="BO9" i="111"/>
  <c r="BK9" i="111"/>
  <c r="CB8" i="111"/>
  <c r="A8" i="111"/>
  <c r="BE88" i="111"/>
  <c r="BE9" i="111"/>
  <c r="CB9" i="111"/>
  <c r="BH8" i="111"/>
  <c r="BZ80" i="111"/>
  <c r="BL80" i="111"/>
  <c r="BI80" i="111"/>
  <c r="BT71" i="111"/>
  <c r="AY71" i="111"/>
  <c r="E39" i="120"/>
  <c r="C42" i="111"/>
  <c r="A67" i="111"/>
  <c r="CA9" i="111"/>
  <c r="BS9" i="111"/>
  <c r="AZ9" i="111"/>
  <c r="BI9" i="111"/>
  <c r="BD9" i="111"/>
  <c r="AI8" i="111"/>
  <c r="U8" i="111" s="1"/>
  <c r="BL8" i="111"/>
  <c r="BW8" i="111"/>
  <c r="BT8" i="111"/>
  <c r="BU8" i="111"/>
  <c r="BI8" i="111"/>
  <c r="C10" i="111"/>
  <c r="C46" i="111"/>
  <c r="AM5" i="111"/>
  <c r="AN5" i="111" s="1"/>
  <c r="A12" i="113"/>
  <c r="E35" i="120"/>
  <c r="F26" i="120"/>
  <c r="E21" i="120"/>
  <c r="BK11" i="111"/>
  <c r="BF8" i="111"/>
  <c r="BO8" i="111"/>
  <c r="BC8" i="111"/>
  <c r="BK8" i="111"/>
  <c r="BJ8" i="111"/>
  <c r="A61" i="113"/>
  <c r="C62" i="111"/>
  <c r="E29" i="120"/>
  <c r="F12" i="120"/>
  <c r="F30" i="120"/>
  <c r="F23" i="120"/>
  <c r="E15" i="120"/>
  <c r="F40" i="120"/>
  <c r="E38" i="120"/>
  <c r="F31" i="120"/>
  <c r="E28" i="120"/>
  <c r="F17" i="120"/>
  <c r="E13" i="120"/>
  <c r="E11" i="120"/>
  <c r="V76" i="120"/>
  <c r="Q84" i="120"/>
  <c r="E52" i="120"/>
  <c r="E44" i="120"/>
  <c r="E33" i="120"/>
  <c r="F21" i="120"/>
  <c r="F20" i="120"/>
  <c r="E17" i="120"/>
  <c r="E16" i="120"/>
  <c r="P84" i="120"/>
  <c r="C66" i="111"/>
  <c r="F61" i="120"/>
  <c r="F49" i="120"/>
  <c r="F45" i="120"/>
  <c r="F42" i="120"/>
  <c r="F24" i="120"/>
  <c r="E22" i="120"/>
  <c r="E19" i="120"/>
  <c r="A16" i="119"/>
  <c r="A21" i="113"/>
  <c r="A49" i="119"/>
  <c r="A13" i="119"/>
  <c r="A58" i="119"/>
  <c r="A9" i="119"/>
  <c r="A15" i="119"/>
  <c r="A14" i="113"/>
  <c r="R84" i="120"/>
  <c r="A12" i="119"/>
  <c r="A68" i="113"/>
  <c r="A21" i="119"/>
  <c r="A35" i="119"/>
  <c r="A30" i="119"/>
  <c r="A39" i="119"/>
  <c r="A36" i="119"/>
  <c r="A47" i="119"/>
  <c r="A45" i="113"/>
  <c r="A66" i="113"/>
  <c r="A8" i="113"/>
  <c r="N84" i="120"/>
  <c r="S84" i="120"/>
  <c r="BK67" i="111"/>
  <c r="BH67" i="111"/>
  <c r="BP67" i="111"/>
  <c r="BS67" i="111"/>
  <c r="BL67" i="111"/>
  <c r="BE11" i="111"/>
  <c r="B10" i="111"/>
  <c r="A10" i="111" s="1"/>
  <c r="A34" i="119"/>
  <c r="A65" i="113"/>
  <c r="AZ67" i="111"/>
  <c r="BB11" i="111"/>
  <c r="AY11" i="111"/>
  <c r="BA11" i="111"/>
  <c r="AW11" i="111"/>
  <c r="Y11" i="111" s="1"/>
  <c r="BG11" i="111"/>
  <c r="BS11" i="111"/>
  <c r="BW11" i="111"/>
  <c r="BN67" i="111"/>
  <c r="AJ67" i="111"/>
  <c r="BF67" i="111"/>
  <c r="BJ67" i="111"/>
  <c r="BC11" i="111"/>
  <c r="BI11" i="111"/>
  <c r="BV67" i="111"/>
  <c r="BO67" i="111"/>
  <c r="BX67" i="111"/>
  <c r="BB67" i="111"/>
  <c r="BU67" i="111"/>
  <c r="BC67" i="111"/>
  <c r="BQ67" i="111"/>
  <c r="BA67" i="111"/>
  <c r="BT67" i="111"/>
  <c r="AW67" i="111"/>
  <c r="Y67" i="111" s="1"/>
  <c r="BZ67" i="111"/>
  <c r="AY67" i="111"/>
  <c r="CC67" i="111"/>
  <c r="BG67" i="111"/>
  <c r="CA67" i="111"/>
  <c r="BM67" i="111"/>
  <c r="BW67" i="111"/>
  <c r="BE67" i="111"/>
  <c r="BY67" i="111"/>
  <c r="AX67" i="111"/>
  <c r="AI67" i="111"/>
  <c r="U67" i="111" s="1"/>
  <c r="BI67" i="111"/>
  <c r="AJ11" i="111"/>
  <c r="BU11" i="111"/>
  <c r="C18" i="111"/>
  <c r="BK88" i="111"/>
  <c r="BF88" i="111"/>
  <c r="CC88" i="111"/>
  <c r="AW88" i="111"/>
  <c r="Y88" i="111" s="1"/>
  <c r="BG88" i="111"/>
  <c r="BN88" i="111"/>
  <c r="AZ88" i="111"/>
  <c r="AJ88" i="111"/>
  <c r="BL88" i="111"/>
  <c r="BS88" i="111"/>
  <c r="BM88" i="111"/>
  <c r="AX88" i="111"/>
  <c r="BV88" i="111"/>
  <c r="AI88" i="111"/>
  <c r="U88" i="111" s="1"/>
  <c r="C50" i="111"/>
  <c r="A55" i="119"/>
  <c r="A11" i="113"/>
  <c r="A27" i="119"/>
  <c r="F49" i="119"/>
  <c r="C30" i="111"/>
  <c r="C34" i="111"/>
  <c r="C38" i="111"/>
  <c r="C54" i="111"/>
  <c r="A26" i="119"/>
  <c r="A10" i="113"/>
  <c r="A6" i="113"/>
  <c r="A14" i="119"/>
  <c r="A46" i="119"/>
  <c r="F64" i="119"/>
  <c r="A5" i="113"/>
  <c r="A79" i="111"/>
  <c r="AZ79" i="111"/>
  <c r="BG79" i="111"/>
  <c r="BO79" i="111"/>
  <c r="BD79" i="111"/>
  <c r="BL79" i="111"/>
  <c r="BS79" i="111"/>
  <c r="BW79" i="111"/>
  <c r="CA79" i="111"/>
  <c r="B81" i="111"/>
  <c r="A81" i="120"/>
  <c r="AX82" i="111"/>
  <c r="BE82" i="111"/>
  <c r="BM82" i="111"/>
  <c r="BA82" i="111"/>
  <c r="BJ82" i="111"/>
  <c r="BQ82" i="111"/>
  <c r="BV82" i="111"/>
  <c r="BZ82" i="111"/>
  <c r="A57" i="119"/>
  <c r="AI80" i="111"/>
  <c r="U80" i="111" s="1"/>
  <c r="BC80" i="111"/>
  <c r="BK80" i="111"/>
  <c r="AY80" i="111"/>
  <c r="BH80" i="111"/>
  <c r="BP80" i="111"/>
  <c r="BU80" i="111"/>
  <c r="BY80" i="111"/>
  <c r="CC80" i="111"/>
  <c r="A71" i="111"/>
  <c r="AZ71" i="111"/>
  <c r="BG71" i="111"/>
  <c r="BO71" i="111"/>
  <c r="BD71" i="111"/>
  <c r="BL71" i="111"/>
  <c r="BS71" i="111"/>
  <c r="BW71" i="111"/>
  <c r="CA71" i="111"/>
  <c r="B72" i="111"/>
  <c r="R84" i="111"/>
  <c r="S84" i="111" s="1"/>
  <c r="E25" i="120"/>
  <c r="F22" i="120"/>
  <c r="F15" i="120"/>
  <c r="F36" i="120"/>
  <c r="T84" i="120"/>
  <c r="B12" i="111"/>
  <c r="C61" i="111"/>
  <c r="C57" i="111"/>
  <c r="C53" i="111"/>
  <c r="C49" i="111"/>
  <c r="C45" i="111"/>
  <c r="C41" i="111"/>
  <c r="C37" i="111"/>
  <c r="C33" i="111"/>
  <c r="C29" i="111"/>
  <c r="C25" i="111"/>
  <c r="C21" i="111"/>
  <c r="C17" i="111"/>
  <c r="C13" i="111"/>
  <c r="C9" i="111"/>
  <c r="C63" i="111"/>
  <c r="F60" i="119"/>
  <c r="BZ11" i="111"/>
  <c r="BF11" i="111"/>
  <c r="AZ11" i="111"/>
  <c r="BJ11" i="111"/>
  <c r="A11" i="111"/>
  <c r="BN11" i="111"/>
  <c r="BM11" i="111"/>
  <c r="CB11" i="111"/>
  <c r="BV11" i="111"/>
  <c r="BP11" i="111"/>
  <c r="BO11" i="111"/>
  <c r="CC11" i="111"/>
  <c r="BT11" i="111"/>
  <c r="AX11" i="111"/>
  <c r="BQ11" i="111"/>
  <c r="AI11" i="111"/>
  <c r="U11" i="111" s="1"/>
  <c r="CA11" i="111"/>
  <c r="BX11" i="111"/>
  <c r="BY11" i="111"/>
  <c r="BH11" i="111"/>
  <c r="A37" i="119"/>
  <c r="A15" i="113"/>
  <c r="A17" i="119"/>
  <c r="A7" i="113"/>
  <c r="A31" i="119"/>
  <c r="C8" i="111"/>
  <c r="C24" i="111"/>
  <c r="C36" i="111"/>
  <c r="C48" i="111"/>
  <c r="F59" i="119"/>
  <c r="E37" i="120"/>
  <c r="BC10" i="111"/>
  <c r="AJ10" i="111"/>
  <c r="BW10" i="111"/>
  <c r="BP10" i="111"/>
  <c r="AY10" i="111"/>
  <c r="AI9" i="111"/>
  <c r="U9" i="111" s="1"/>
  <c r="BP9" i="111"/>
  <c r="BB9" i="111"/>
  <c r="BU9" i="111"/>
  <c r="AJ9" i="111"/>
  <c r="A9" i="111"/>
  <c r="BA9" i="111"/>
  <c r="BM9" i="111"/>
  <c r="BF9" i="111"/>
  <c r="AW8" i="111"/>
  <c r="Y8" i="111" s="1"/>
  <c r="BB8" i="111"/>
  <c r="BA8" i="111"/>
  <c r="BY8" i="111"/>
  <c r="BN8" i="111"/>
  <c r="AJ8" i="111"/>
  <c r="AZ8" i="111"/>
  <c r="BS8" i="111"/>
  <c r="BP8" i="111"/>
  <c r="CA8" i="111"/>
  <c r="C12" i="111"/>
  <c r="C40" i="111"/>
  <c r="C52" i="111"/>
  <c r="C65" i="111"/>
  <c r="C19" i="111"/>
  <c r="C59" i="111"/>
  <c r="C67" i="111"/>
  <c r="V67" i="120"/>
  <c r="B83" i="111"/>
  <c r="AW10" i="111" l="1"/>
  <c r="Y10" i="111" s="1"/>
  <c r="CB10" i="111"/>
  <c r="BM10" i="111"/>
  <c r="BT10" i="111"/>
  <c r="AM7" i="111"/>
  <c r="CD67" i="111"/>
  <c r="AG67" i="111" s="1"/>
  <c r="A48" i="119"/>
  <c r="W84" i="120"/>
  <c r="D83" i="111" s="1"/>
  <c r="R83" i="111" s="1"/>
  <c r="S83" i="111" s="1"/>
  <c r="CD8" i="111"/>
  <c r="AG8" i="111" s="1"/>
  <c r="CD66" i="111"/>
  <c r="AG66" i="111" s="1"/>
  <c r="A10" i="119"/>
  <c r="A43" i="113"/>
  <c r="A38" i="119"/>
  <c r="A32" i="119"/>
  <c r="A13" i="113"/>
  <c r="A37" i="113"/>
  <c r="A38" i="113"/>
  <c r="A25" i="119"/>
  <c r="A63" i="113"/>
  <c r="A24" i="119"/>
  <c r="A22" i="119"/>
  <c r="A9" i="113"/>
  <c r="A23" i="119"/>
  <c r="A40" i="113"/>
  <c r="V83" i="111"/>
  <c r="B73" i="111"/>
  <c r="A72" i="120"/>
  <c r="A60" i="113"/>
  <c r="A11" i="119"/>
  <c r="A28" i="119"/>
  <c r="A41" i="113"/>
  <c r="BK10" i="111"/>
  <c r="BS10" i="111"/>
  <c r="BU10" i="111"/>
  <c r="BX10" i="111"/>
  <c r="BL10" i="111"/>
  <c r="BV10" i="111"/>
  <c r="AI10" i="111"/>
  <c r="U10" i="111" s="1"/>
  <c r="BO10" i="111"/>
  <c r="CA10" i="111"/>
  <c r="BZ10" i="111"/>
  <c r="CC10" i="111"/>
  <c r="BY10" i="111"/>
  <c r="BF10" i="111"/>
  <c r="BI10" i="111"/>
  <c r="BH10" i="111"/>
  <c r="BN10" i="111"/>
  <c r="BJ10" i="111"/>
  <c r="BQ10" i="111"/>
  <c r="BG10" i="111"/>
  <c r="BD10" i="111"/>
  <c r="BA10" i="111"/>
  <c r="AZ10" i="111"/>
  <c r="BB10" i="111"/>
  <c r="BE10" i="111"/>
  <c r="AX10" i="111"/>
  <c r="AZ81" i="111"/>
  <c r="BG81" i="111"/>
  <c r="BO81" i="111"/>
  <c r="BD81" i="111"/>
  <c r="BL81" i="111"/>
  <c r="BS81" i="111"/>
  <c r="BW81" i="111"/>
  <c r="CA81" i="111"/>
  <c r="BE81" i="111"/>
  <c r="AJ81" i="111"/>
  <c r="BH81" i="111"/>
  <c r="BQ81" i="111"/>
  <c r="BX81" i="111"/>
  <c r="CC81" i="111"/>
  <c r="A81" i="111"/>
  <c r="AX81" i="111"/>
  <c r="BK81" i="111"/>
  <c r="BF81" i="111"/>
  <c r="BT81" i="111"/>
  <c r="BZ81" i="111"/>
  <c r="BB81" i="111"/>
  <c r="BM81" i="111"/>
  <c r="BJ81" i="111"/>
  <c r="BU81" i="111"/>
  <c r="CB81" i="111"/>
  <c r="AY81" i="111"/>
  <c r="BV81" i="111"/>
  <c r="BC81" i="111"/>
  <c r="BN81" i="111"/>
  <c r="BI81" i="111"/>
  <c r="BP81" i="111"/>
  <c r="AW81" i="111"/>
  <c r="Y81" i="111" s="1"/>
  <c r="BY81" i="111"/>
  <c r="AI81" i="111"/>
  <c r="U81" i="111" s="1"/>
  <c r="BA81" i="111"/>
  <c r="A64" i="113"/>
  <c r="A29" i="119"/>
  <c r="AN7" i="111"/>
  <c r="AO5" i="111"/>
  <c r="AZ72" i="111"/>
  <c r="BG72" i="111"/>
  <c r="BO72" i="111"/>
  <c r="BD72" i="111"/>
  <c r="BL72" i="111"/>
  <c r="BS72" i="111"/>
  <c r="BW72" i="111"/>
  <c r="CA72" i="111"/>
  <c r="AX72" i="111"/>
  <c r="BI72" i="111"/>
  <c r="AY72" i="111"/>
  <c r="BJ72" i="111"/>
  <c r="BT72" i="111"/>
  <c r="BY72" i="111"/>
  <c r="BK72" i="111"/>
  <c r="BF72" i="111"/>
  <c r="BQ72" i="111"/>
  <c r="BZ72" i="111"/>
  <c r="A72" i="111"/>
  <c r="BB72" i="111"/>
  <c r="BM72" i="111"/>
  <c r="BH72" i="111"/>
  <c r="BU72" i="111"/>
  <c r="CB72" i="111"/>
  <c r="BC72" i="111"/>
  <c r="BN72" i="111"/>
  <c r="CC72" i="111"/>
  <c r="AJ72" i="111"/>
  <c r="BV72" i="111"/>
  <c r="AI72" i="111"/>
  <c r="U72" i="111" s="1"/>
  <c r="BA72" i="111"/>
  <c r="BX72" i="111"/>
  <c r="AW72" i="111"/>
  <c r="Y72" i="111" s="1"/>
  <c r="BE72" i="111"/>
  <c r="BP72" i="111"/>
  <c r="D9" i="120"/>
  <c r="F57" i="119"/>
  <c r="J57" i="119" s="1"/>
  <c r="AZ83" i="111"/>
  <c r="BG83" i="111"/>
  <c r="BO83" i="111"/>
  <c r="BD83" i="111"/>
  <c r="BL83" i="111"/>
  <c r="BS83" i="111"/>
  <c r="BW83" i="111"/>
  <c r="CA83" i="111"/>
  <c r="BB83" i="111"/>
  <c r="BK83" i="111"/>
  <c r="BA83" i="111"/>
  <c r="BN83" i="111"/>
  <c r="BU83" i="111"/>
  <c r="BZ83" i="111"/>
  <c r="A83" i="111"/>
  <c r="AI83" i="111"/>
  <c r="BC83" i="111"/>
  <c r="BM83" i="111"/>
  <c r="BF83" i="111"/>
  <c r="BP83" i="111"/>
  <c r="BV83" i="111"/>
  <c r="CB83" i="111"/>
  <c r="BE83" i="111"/>
  <c r="AJ83" i="111"/>
  <c r="BH83" i="111"/>
  <c r="BQ83" i="111"/>
  <c r="BX83" i="111"/>
  <c r="CC83" i="111"/>
  <c r="BJ83" i="111"/>
  <c r="AX83" i="111"/>
  <c r="BT83" i="111"/>
  <c r="AW83" i="111"/>
  <c r="Y83" i="111" s="1"/>
  <c r="BY83" i="111"/>
  <c r="BI83" i="111"/>
  <c r="AY83" i="111"/>
  <c r="A40" i="119"/>
  <c r="A33" i="119"/>
  <c r="A42" i="113"/>
  <c r="A18" i="119"/>
  <c r="A39" i="113"/>
  <c r="AW12" i="111"/>
  <c r="Y12" i="111" s="1"/>
  <c r="BB12" i="111"/>
  <c r="BA12" i="111"/>
  <c r="BY12" i="111"/>
  <c r="BG12" i="111"/>
  <c r="CA12" i="111"/>
  <c r="BL12" i="111"/>
  <c r="BD12" i="111"/>
  <c r="BC12" i="111"/>
  <c r="CB12" i="111"/>
  <c r="A12" i="111"/>
  <c r="BM12" i="111"/>
  <c r="CC12" i="111"/>
  <c r="BP12" i="111"/>
  <c r="AY12" i="111"/>
  <c r="BN12" i="111"/>
  <c r="BW12" i="111"/>
  <c r="AX12" i="111"/>
  <c r="BQ12" i="111"/>
  <c r="BF12" i="111"/>
  <c r="BS12" i="111"/>
  <c r="BZ12" i="111"/>
  <c r="BI12" i="111"/>
  <c r="BX12" i="111"/>
  <c r="AJ12" i="111"/>
  <c r="AI12" i="111"/>
  <c r="U12" i="111" s="1"/>
  <c r="BK12" i="111"/>
  <c r="BJ12" i="111"/>
  <c r="BO12" i="111"/>
  <c r="BU12" i="111"/>
  <c r="BT12" i="111"/>
  <c r="BE12" i="111"/>
  <c r="BV12" i="111"/>
  <c r="AZ12" i="111"/>
  <c r="BH12" i="111"/>
  <c r="B13" i="111"/>
  <c r="A20" i="119"/>
  <c r="B84" i="111"/>
  <c r="A19" i="119"/>
  <c r="A62" i="113"/>
  <c r="A87" i="113" l="1"/>
  <c r="B8" i="120"/>
  <c r="AA83" i="111"/>
  <c r="AD83" i="111" s="1"/>
  <c r="AF83" i="111" s="1"/>
  <c r="AH83" i="111" s="1"/>
  <c r="F58" i="119"/>
  <c r="J58" i="119" s="1"/>
  <c r="P71" i="120"/>
  <c r="B84" i="113"/>
  <c r="C87" i="113"/>
  <c r="U83" i="111"/>
  <c r="W83" i="111" s="1"/>
  <c r="AB83" i="111" s="1"/>
  <c r="B87" i="113"/>
  <c r="A83" i="113"/>
  <c r="A84" i="113" s="1"/>
  <c r="AO7" i="111"/>
  <c r="AP5" i="111"/>
  <c r="BD73" i="111"/>
  <c r="CC73" i="111"/>
  <c r="BF73" i="111"/>
  <c r="BC73" i="111"/>
  <c r="BG73" i="111"/>
  <c r="BZ73" i="111"/>
  <c r="AW73" i="111"/>
  <c r="Y73" i="111" s="1"/>
  <c r="AX73" i="111"/>
  <c r="BE73" i="111"/>
  <c r="BL73" i="111"/>
  <c r="AJ73" i="111"/>
  <c r="BH73" i="111"/>
  <c r="BW73" i="111"/>
  <c r="BM73" i="111"/>
  <c r="BJ73" i="111"/>
  <c r="BX73" i="111"/>
  <c r="BV73" i="111"/>
  <c r="BQ73" i="111"/>
  <c r="AI73" i="111"/>
  <c r="U73" i="111" s="1"/>
  <c r="CB73" i="111"/>
  <c r="BO73" i="111"/>
  <c r="AY73" i="111"/>
  <c r="BA73" i="111"/>
  <c r="A73" i="111"/>
  <c r="BP73" i="111"/>
  <c r="BT73" i="111"/>
  <c r="BK73" i="111"/>
  <c r="BN73" i="111"/>
  <c r="BY73" i="111"/>
  <c r="BB73" i="111"/>
  <c r="CA73" i="111"/>
  <c r="AZ73" i="111"/>
  <c r="BU73" i="111"/>
  <c r="BI73" i="111"/>
  <c r="BS73" i="111"/>
  <c r="A85" i="113"/>
  <c r="A86" i="113"/>
  <c r="C85" i="113"/>
  <c r="C86" i="113"/>
  <c r="C90" i="113"/>
  <c r="C91" i="113" s="1"/>
  <c r="G49" i="113" s="1"/>
  <c r="B86" i="113"/>
  <c r="Q72" i="120"/>
  <c r="A73" i="120"/>
  <c r="B75" i="111"/>
  <c r="B74" i="111"/>
  <c r="Q71" i="120"/>
  <c r="B14" i="111"/>
  <c r="D10" i="120"/>
  <c r="AI84" i="111"/>
  <c r="BC84" i="111"/>
  <c r="BK84" i="111"/>
  <c r="AY84" i="111"/>
  <c r="BH84" i="111"/>
  <c r="BP84" i="111"/>
  <c r="BU84" i="111"/>
  <c r="BY84" i="111"/>
  <c r="CC84" i="111"/>
  <c r="AW84" i="111"/>
  <c r="Y84" i="111" s="1"/>
  <c r="AA84" i="111" s="1"/>
  <c r="AX84" i="111"/>
  <c r="BG84" i="111"/>
  <c r="AJ84" i="111"/>
  <c r="BJ84" i="111"/>
  <c r="BS84" i="111"/>
  <c r="BX84" i="111"/>
  <c r="AZ84" i="111"/>
  <c r="BI84" i="111"/>
  <c r="BA84" i="111"/>
  <c r="BL84" i="111"/>
  <c r="BT84" i="111"/>
  <c r="BZ84" i="111"/>
  <c r="A84" i="111"/>
  <c r="BB84" i="111"/>
  <c r="BM84" i="111"/>
  <c r="BD84" i="111"/>
  <c r="BN84" i="111"/>
  <c r="BV84" i="111"/>
  <c r="CA84" i="111"/>
  <c r="BE84" i="111"/>
  <c r="BW84" i="111"/>
  <c r="BO84" i="111"/>
  <c r="CB84" i="111"/>
  <c r="BF84" i="111"/>
  <c r="BQ84" i="111"/>
  <c r="AW13" i="111"/>
  <c r="Y13" i="111" s="1"/>
  <c r="BP13" i="111"/>
  <c r="AI13" i="111"/>
  <c r="U13" i="111" s="1"/>
  <c r="BM13" i="111"/>
  <c r="CA13" i="111"/>
  <c r="BO13" i="111"/>
  <c r="BY13" i="111"/>
  <c r="BN13" i="111"/>
  <c r="AJ13" i="111"/>
  <c r="BI13" i="111"/>
  <c r="AY13" i="111"/>
  <c r="CB13" i="111"/>
  <c r="BF13" i="111"/>
  <c r="AZ13" i="111"/>
  <c r="BS13" i="111"/>
  <c r="BU13" i="111"/>
  <c r="BC13" i="111"/>
  <c r="BV13" i="111"/>
  <c r="BL13" i="111"/>
  <c r="BZ13" i="111"/>
  <c r="AX13" i="111"/>
  <c r="BE13" i="111"/>
  <c r="BD13" i="111"/>
  <c r="BX13" i="111"/>
  <c r="BA13" i="111"/>
  <c r="CC13" i="111"/>
  <c r="BG13" i="111"/>
  <c r="BB13" i="111"/>
  <c r="BJ13" i="111"/>
  <c r="A13" i="111"/>
  <c r="BH13" i="111"/>
  <c r="BK13" i="111"/>
  <c r="BT13" i="111"/>
  <c r="BW13" i="111"/>
  <c r="BQ13" i="111"/>
  <c r="B85" i="113"/>
  <c r="C84" i="113"/>
  <c r="CD9" i="111"/>
  <c r="AG9" i="111" s="1"/>
  <c r="X83" i="111" l="1"/>
  <c r="Z83" i="111" s="1"/>
  <c r="M9" i="120"/>
  <c r="I9" i="120"/>
  <c r="AR83" i="111"/>
  <c r="AO83" i="111"/>
  <c r="AK83" i="111"/>
  <c r="AQ83" i="111"/>
  <c r="AT83" i="111"/>
  <c r="AM83" i="111"/>
  <c r="AL83" i="111"/>
  <c r="AP83" i="111"/>
  <c r="AS83" i="111"/>
  <c r="AN83" i="111"/>
  <c r="G26" i="113"/>
  <c r="G71" i="113"/>
  <c r="O71" i="120"/>
  <c r="BX75" i="111"/>
  <c r="BB75" i="111"/>
  <c r="AX75" i="111"/>
  <c r="BA75" i="111"/>
  <c r="AW75" i="111"/>
  <c r="Y75" i="111" s="1"/>
  <c r="BI75" i="111"/>
  <c r="BD75" i="111"/>
  <c r="BF75" i="111"/>
  <c r="BL75" i="111"/>
  <c r="BP75" i="111"/>
  <c r="BN75" i="111"/>
  <c r="BS75" i="111"/>
  <c r="BT75" i="111"/>
  <c r="AI75" i="111"/>
  <c r="U75" i="111" s="1"/>
  <c r="BW75" i="111"/>
  <c r="CA75" i="111"/>
  <c r="AJ75" i="111"/>
  <c r="BQ75" i="111"/>
  <c r="BH75" i="111"/>
  <c r="BZ75" i="111"/>
  <c r="BY75" i="111"/>
  <c r="BU75" i="111"/>
  <c r="CB75" i="111"/>
  <c r="BG75" i="111"/>
  <c r="AY75" i="111"/>
  <c r="BM75" i="111"/>
  <c r="BJ75" i="111"/>
  <c r="BV75" i="111"/>
  <c r="BC75" i="111"/>
  <c r="AZ75" i="111"/>
  <c r="BK75" i="111"/>
  <c r="BE75" i="111"/>
  <c r="CC75" i="111"/>
  <c r="BO75" i="111"/>
  <c r="A74" i="120"/>
  <c r="AX74" i="111"/>
  <c r="BE74" i="111"/>
  <c r="BZ74" i="111"/>
  <c r="AY74" i="111"/>
  <c r="BM74" i="111"/>
  <c r="BS74" i="111"/>
  <c r="AJ74" i="111"/>
  <c r="BT74" i="111"/>
  <c r="AZ74" i="111"/>
  <c r="BB74" i="111"/>
  <c r="CA74" i="111"/>
  <c r="CC74" i="111"/>
  <c r="AI74" i="111"/>
  <c r="BD74" i="111"/>
  <c r="BG74" i="111"/>
  <c r="BN74" i="111"/>
  <c r="U74" i="111"/>
  <c r="BI74" i="111"/>
  <c r="BF74" i="111"/>
  <c r="BV74" i="111"/>
  <c r="BW74" i="111"/>
  <c r="BQ74" i="111"/>
  <c r="A74" i="111"/>
  <c r="BL74" i="111"/>
  <c r="BH74" i="111"/>
  <c r="BO74" i="111"/>
  <c r="BJ74" i="111"/>
  <c r="BA74" i="111"/>
  <c r="AW74" i="111"/>
  <c r="Y74" i="111" s="1"/>
  <c r="BU74" i="111"/>
  <c r="CB74" i="111"/>
  <c r="BY74" i="111"/>
  <c r="BP74" i="111"/>
  <c r="BK74" i="111"/>
  <c r="BX74" i="111"/>
  <c r="BC74" i="111"/>
  <c r="AP7" i="111"/>
  <c r="AQ5" i="111"/>
  <c r="V71" i="120"/>
  <c r="U71" i="120"/>
  <c r="P72" i="120"/>
  <c r="M8" i="120"/>
  <c r="V84" i="111"/>
  <c r="O80" i="120"/>
  <c r="Q80" i="120"/>
  <c r="AD84" i="111"/>
  <c r="AF84" i="111" s="1"/>
  <c r="AH84" i="111" s="1"/>
  <c r="AK84" i="111"/>
  <c r="AR84" i="111"/>
  <c r="AQ84" i="111"/>
  <c r="AM84" i="111"/>
  <c r="AN84" i="111"/>
  <c r="AS84" i="111"/>
  <c r="AL84" i="111"/>
  <c r="AO84" i="111"/>
  <c r="AP84" i="111"/>
  <c r="AT84" i="111"/>
  <c r="O81" i="120"/>
  <c r="P80" i="120"/>
  <c r="U84" i="111"/>
  <c r="Q81" i="120"/>
  <c r="I8" i="120"/>
  <c r="P81" i="120"/>
  <c r="D11" i="120"/>
  <c r="AI14" i="111"/>
  <c r="U14" i="111" s="1"/>
  <c r="BK14" i="111"/>
  <c r="BN14" i="111"/>
  <c r="BQ14" i="111"/>
  <c r="BE14" i="111"/>
  <c r="BY14" i="111"/>
  <c r="BU14" i="111"/>
  <c r="BX14" i="111"/>
  <c r="AW14" i="111"/>
  <c r="Y14" i="111" s="1"/>
  <c r="BG14" i="111"/>
  <c r="BS14" i="111"/>
  <c r="BM14" i="111"/>
  <c r="A14" i="111"/>
  <c r="BB14" i="111"/>
  <c r="BJ14" i="111"/>
  <c r="BO14" i="111"/>
  <c r="CA14" i="111"/>
  <c r="CB14" i="111"/>
  <c r="BD14" i="111"/>
  <c r="AY14" i="111"/>
  <c r="AJ14" i="111"/>
  <c r="BH14" i="111"/>
  <c r="BT14" i="111"/>
  <c r="CC14" i="111"/>
  <c r="BC14" i="111"/>
  <c r="BV14" i="111"/>
  <c r="BZ14" i="111"/>
  <c r="AX14" i="111"/>
  <c r="BI14" i="111"/>
  <c r="AZ14" i="111"/>
  <c r="BA14" i="111"/>
  <c r="BF14" i="111"/>
  <c r="BL14" i="111"/>
  <c r="BP14" i="111"/>
  <c r="BW14" i="111"/>
  <c r="B9" i="120"/>
  <c r="CD10" i="111"/>
  <c r="AG10" i="111" s="1"/>
  <c r="B15" i="111"/>
  <c r="G9" i="120" l="1"/>
  <c r="G8" i="120"/>
  <c r="AC83" i="111"/>
  <c r="W84" i="111"/>
  <c r="AB84" i="111" s="1"/>
  <c r="AR5" i="111"/>
  <c r="AQ7" i="111"/>
  <c r="P73" i="120"/>
  <c r="P74" i="120"/>
  <c r="A75" i="120"/>
  <c r="O72" i="120"/>
  <c r="Q73" i="120"/>
  <c r="X84" i="111"/>
  <c r="Z84" i="111" s="1"/>
  <c r="U72" i="120"/>
  <c r="V72" i="120"/>
  <c r="Q82" i="120"/>
  <c r="P82" i="120"/>
  <c r="O82" i="120"/>
  <c r="CD11" i="111"/>
  <c r="AG11" i="111" s="1"/>
  <c r="B16" i="111"/>
  <c r="B10" i="120"/>
  <c r="U81" i="120"/>
  <c r="AC84" i="111"/>
  <c r="D12" i="120"/>
  <c r="Q74" i="120"/>
  <c r="I10" i="120"/>
  <c r="BD15" i="111"/>
  <c r="AX15" i="111"/>
  <c r="BH15" i="111"/>
  <c r="A15" i="111"/>
  <c r="BN15" i="111"/>
  <c r="BP15" i="111"/>
  <c r="BX15" i="111"/>
  <c r="BJ15" i="111"/>
  <c r="BC15" i="111"/>
  <c r="BW15" i="111"/>
  <c r="BA15" i="111"/>
  <c r="BB15" i="111"/>
  <c r="CA15" i="111"/>
  <c r="CC15" i="111"/>
  <c r="BV15" i="111"/>
  <c r="BQ15" i="111"/>
  <c r="BT15" i="111"/>
  <c r="BF15" i="111"/>
  <c r="AY15" i="111"/>
  <c r="BL15" i="111"/>
  <c r="CB15" i="111"/>
  <c r="AI15" i="111"/>
  <c r="U15" i="111" s="1"/>
  <c r="AZ15" i="111"/>
  <c r="BZ15" i="111"/>
  <c r="BK15" i="111"/>
  <c r="BO15" i="111"/>
  <c r="BE15" i="111"/>
  <c r="BI15" i="111"/>
  <c r="AW15" i="111"/>
  <c r="Y15" i="111" s="1"/>
  <c r="BY15" i="111"/>
  <c r="BS15" i="111"/>
  <c r="BM15" i="111"/>
  <c r="BG15" i="111"/>
  <c r="AJ15" i="111"/>
  <c r="BU15" i="111"/>
  <c r="V74" i="120" l="1"/>
  <c r="G10" i="120"/>
  <c r="G11" i="120"/>
  <c r="I12" i="120"/>
  <c r="U73" i="120"/>
  <c r="G12" i="120"/>
  <c r="V73" i="120"/>
  <c r="U75" i="120"/>
  <c r="O73" i="120"/>
  <c r="AR7" i="111"/>
  <c r="AS5" i="111"/>
  <c r="B11" i="120"/>
  <c r="O74" i="120"/>
  <c r="U80" i="120"/>
  <c r="K8" i="120"/>
  <c r="D13" i="120"/>
  <c r="M10" i="120"/>
  <c r="B17" i="111"/>
  <c r="Q75" i="120"/>
  <c r="BE16" i="111"/>
  <c r="BJ16" i="111"/>
  <c r="CC16" i="111"/>
  <c r="BW16" i="111"/>
  <c r="BN16" i="111"/>
  <c r="BV16" i="111"/>
  <c r="BO16" i="111"/>
  <c r="AW16" i="111"/>
  <c r="Y16" i="111" s="1"/>
  <c r="BI16" i="111"/>
  <c r="BU16" i="111"/>
  <c r="BH16" i="111"/>
  <c r="BT16" i="111"/>
  <c r="BF16" i="111"/>
  <c r="BS16" i="111"/>
  <c r="A16" i="111"/>
  <c r="BA16" i="111"/>
  <c r="AJ16" i="111"/>
  <c r="BZ16" i="111"/>
  <c r="CA16" i="111"/>
  <c r="AY16" i="111"/>
  <c r="BB16" i="111"/>
  <c r="BC16" i="111"/>
  <c r="AI16" i="111"/>
  <c r="U16" i="111" s="1"/>
  <c r="BX16" i="111"/>
  <c r="BQ16" i="111"/>
  <c r="BD16" i="111"/>
  <c r="AZ16" i="111"/>
  <c r="BY16" i="111"/>
  <c r="BP16" i="111"/>
  <c r="CB16" i="111"/>
  <c r="BL16" i="111"/>
  <c r="AX16" i="111"/>
  <c r="BK16" i="111"/>
  <c r="BM16" i="111"/>
  <c r="BG16" i="111"/>
  <c r="U82" i="120"/>
  <c r="I11" i="120"/>
  <c r="CD12" i="111"/>
  <c r="AG12" i="111" s="1"/>
  <c r="P75" i="120" l="1"/>
  <c r="G13" i="120"/>
  <c r="G45" i="113"/>
  <c r="U74" i="120"/>
  <c r="AS7" i="111"/>
  <c r="AT5" i="111"/>
  <c r="O83" i="120"/>
  <c r="P83" i="120"/>
  <c r="CD13" i="111"/>
  <c r="AG13" i="111" s="1"/>
  <c r="O75" i="120"/>
  <c r="B12" i="120"/>
  <c r="Q83" i="120"/>
  <c r="D14" i="120"/>
  <c r="M11" i="120"/>
  <c r="B18" i="111"/>
  <c r="W8" i="120"/>
  <c r="K9" i="120"/>
  <c r="W9" i="120" s="1"/>
  <c r="D9" i="111" s="1"/>
  <c r="R9" i="111" s="1"/>
  <c r="I13" i="120"/>
  <c r="AW17" i="111"/>
  <c r="Y17" i="111" s="1"/>
  <c r="AY17" i="111"/>
  <c r="BX17" i="111"/>
  <c r="AJ17" i="111"/>
  <c r="BB17" i="111"/>
  <c r="BU17" i="111"/>
  <c r="BM17" i="111"/>
  <c r="CA17" i="111"/>
  <c r="BA17" i="111"/>
  <c r="BS17" i="111"/>
  <c r="BH17" i="111"/>
  <c r="BC17" i="111"/>
  <c r="CC17" i="111"/>
  <c r="BZ17" i="111"/>
  <c r="BQ17" i="111"/>
  <c r="AZ17" i="111"/>
  <c r="BT17" i="111"/>
  <c r="BW17" i="111"/>
  <c r="AX17" i="111"/>
  <c r="BO17" i="111"/>
  <c r="A17" i="111"/>
  <c r="BP17" i="111"/>
  <c r="BK17" i="111"/>
  <c r="BF17" i="111"/>
  <c r="BL17" i="111"/>
  <c r="BD17" i="111"/>
  <c r="BY17" i="111"/>
  <c r="BI17" i="111"/>
  <c r="BV17" i="111"/>
  <c r="BJ17" i="111"/>
  <c r="BE17" i="111"/>
  <c r="AI17" i="111"/>
  <c r="U17" i="111" s="1"/>
  <c r="BN17" i="111"/>
  <c r="CB17" i="111"/>
  <c r="BG17" i="111"/>
  <c r="M12" i="120" l="1"/>
  <c r="F47" i="119"/>
  <c r="AU5" i="111"/>
  <c r="AU7" i="111" s="1"/>
  <c r="AT7" i="111"/>
  <c r="V75" i="120"/>
  <c r="CD14" i="111"/>
  <c r="AG14" i="111" s="1"/>
  <c r="AA9" i="111"/>
  <c r="S9" i="111"/>
  <c r="M13" i="120"/>
  <c r="B13" i="120"/>
  <c r="AI18" i="111"/>
  <c r="U18" i="111" s="1"/>
  <c r="BG18" i="111"/>
  <c r="BF18" i="111"/>
  <c r="CA18" i="111"/>
  <c r="BX18" i="111"/>
  <c r="BP18" i="111"/>
  <c r="BM18" i="111"/>
  <c r="CB18" i="111"/>
  <c r="BT18" i="111"/>
  <c r="AW18" i="111"/>
  <c r="Y18" i="111" s="1"/>
  <c r="BC18" i="111"/>
  <c r="BN18" i="111"/>
  <c r="AY18" i="111"/>
  <c r="BD18" i="111"/>
  <c r="BH18" i="111"/>
  <c r="BL18" i="111"/>
  <c r="AJ18" i="111"/>
  <c r="BJ18" i="111"/>
  <c r="BZ18" i="111"/>
  <c r="BE18" i="111"/>
  <c r="BK18" i="111"/>
  <c r="BI18" i="111"/>
  <c r="AX18" i="111"/>
  <c r="BY18" i="111"/>
  <c r="BO18" i="111"/>
  <c r="BB18" i="111"/>
  <c r="A18" i="111"/>
  <c r="BS18" i="111"/>
  <c r="BU18" i="111"/>
  <c r="BA18" i="111"/>
  <c r="BW18" i="111"/>
  <c r="BQ18" i="111"/>
  <c r="AZ18" i="111"/>
  <c r="CC18" i="111"/>
  <c r="BV18" i="111"/>
  <c r="D15" i="120"/>
  <c r="B19" i="111"/>
  <c r="U83" i="120"/>
  <c r="K10" i="120"/>
  <c r="D8" i="111"/>
  <c r="I15" i="120" l="1"/>
  <c r="B14" i="120"/>
  <c r="CD15" i="111"/>
  <c r="AG15" i="111" s="1"/>
  <c r="G68" i="113"/>
  <c r="D16" i="120"/>
  <c r="AP9" i="111"/>
  <c r="AQ9" i="111"/>
  <c r="AD9" i="111"/>
  <c r="AF9" i="111" s="1"/>
  <c r="AH9" i="111" s="1"/>
  <c r="AK9" i="111"/>
  <c r="AM9" i="111"/>
  <c r="AO9" i="111"/>
  <c r="AS9" i="111"/>
  <c r="AL9" i="111"/>
  <c r="AN9" i="111"/>
  <c r="AR9" i="111"/>
  <c r="AT9" i="111"/>
  <c r="B20" i="111"/>
  <c r="R8" i="111"/>
  <c r="I14" i="120"/>
  <c r="G15" i="120"/>
  <c r="AW19" i="111"/>
  <c r="Y19" i="111" s="1"/>
  <c r="BV19" i="111"/>
  <c r="BO19" i="111"/>
  <c r="BX19" i="111"/>
  <c r="BG19" i="111"/>
  <c r="CA19" i="111"/>
  <c r="BM19" i="111"/>
  <c r="BW19" i="111"/>
  <c r="BE19" i="111"/>
  <c r="BT19" i="111"/>
  <c r="BZ19" i="111"/>
  <c r="BJ19" i="111"/>
  <c r="BB19" i="111"/>
  <c r="BH19" i="111"/>
  <c r="BA19" i="111"/>
  <c r="BI19" i="111"/>
  <c r="AI19" i="111"/>
  <c r="U19" i="111" s="1"/>
  <c r="AX19" i="111"/>
  <c r="CB19" i="111"/>
  <c r="BK19" i="111"/>
  <c r="BL19" i="111"/>
  <c r="CC19" i="111"/>
  <c r="AZ19" i="111"/>
  <c r="BP19" i="111"/>
  <c r="BQ19" i="111"/>
  <c r="AY19" i="111"/>
  <c r="BU19" i="111"/>
  <c r="BY19" i="111"/>
  <c r="BS19" i="111"/>
  <c r="BC19" i="111"/>
  <c r="BN19" i="111"/>
  <c r="BF19" i="111"/>
  <c r="AJ19" i="111"/>
  <c r="A19" i="111"/>
  <c r="BD19" i="111"/>
  <c r="F48" i="119"/>
  <c r="W10" i="120"/>
  <c r="G14" i="120"/>
  <c r="K11" i="120"/>
  <c r="W11" i="120" s="1"/>
  <c r="D11" i="111" s="1"/>
  <c r="R11" i="111" s="1"/>
  <c r="V8" i="111" l="1"/>
  <c r="X8" i="111" s="1"/>
  <c r="Z8" i="111" s="1"/>
  <c r="B15" i="120"/>
  <c r="AA8" i="111"/>
  <c r="S8" i="111"/>
  <c r="W8" i="111"/>
  <c r="AB8" i="111" s="1"/>
  <c r="M15" i="120"/>
  <c r="CD16" i="111"/>
  <c r="AG16" i="111" s="1"/>
  <c r="K12" i="120"/>
  <c r="W12" i="120" s="1"/>
  <c r="D12" i="111" s="1"/>
  <c r="R12" i="111" s="1"/>
  <c r="D17" i="120"/>
  <c r="AA11" i="111"/>
  <c r="S11" i="111"/>
  <c r="D10" i="111"/>
  <c r="A20" i="111"/>
  <c r="BI20" i="111"/>
  <c r="BQ20" i="111"/>
  <c r="AZ20" i="111"/>
  <c r="BS20" i="111"/>
  <c r="BF20" i="111"/>
  <c r="BW20" i="111"/>
  <c r="BT20" i="111"/>
  <c r="BB20" i="111"/>
  <c r="BJ20" i="111"/>
  <c r="BO20" i="111"/>
  <c r="AI20" i="111"/>
  <c r="U20" i="111" s="1"/>
  <c r="CA20" i="111"/>
  <c r="CB20" i="111"/>
  <c r="BD20" i="111"/>
  <c r="AW20" i="111"/>
  <c r="Y20" i="111" s="1"/>
  <c r="BM20" i="111"/>
  <c r="CC20" i="111"/>
  <c r="BG20" i="111"/>
  <c r="AJ20" i="111"/>
  <c r="BZ20" i="111"/>
  <c r="BE20" i="111"/>
  <c r="AY20" i="111"/>
  <c r="BV20" i="111"/>
  <c r="BK20" i="111"/>
  <c r="BA20" i="111"/>
  <c r="BL20" i="111"/>
  <c r="BC20" i="111"/>
  <c r="BU20" i="111"/>
  <c r="BX20" i="111"/>
  <c r="BH20" i="111"/>
  <c r="AX20" i="111"/>
  <c r="BY20" i="111"/>
  <c r="BP20" i="111"/>
  <c r="BN20" i="111"/>
  <c r="AC9" i="111"/>
  <c r="V9" i="111"/>
  <c r="B21" i="111"/>
  <c r="M14" i="120"/>
  <c r="V10" i="111" l="1"/>
  <c r="X10" i="111" s="1"/>
  <c r="Z10" i="111" s="1"/>
  <c r="B22" i="111"/>
  <c r="AD11" i="111"/>
  <c r="AF11" i="111" s="1"/>
  <c r="AH11" i="111" s="1"/>
  <c r="AR11" i="111"/>
  <c r="AN11" i="111"/>
  <c r="AQ11" i="111"/>
  <c r="AP11" i="111"/>
  <c r="AM11" i="111"/>
  <c r="AT11" i="111"/>
  <c r="AO11" i="111"/>
  <c r="AS11" i="111"/>
  <c r="AL11" i="111"/>
  <c r="AK11" i="111"/>
  <c r="K13" i="120"/>
  <c r="W13" i="120" s="1"/>
  <c r="CD17" i="111"/>
  <c r="AG17" i="111" s="1"/>
  <c r="I16" i="120"/>
  <c r="R10" i="111"/>
  <c r="G16" i="120"/>
  <c r="AA12" i="111"/>
  <c r="S12" i="111"/>
  <c r="D18" i="120"/>
  <c r="BH21" i="111"/>
  <c r="CB21" i="111"/>
  <c r="BO21" i="111"/>
  <c r="BY21" i="111"/>
  <c r="BG21" i="111"/>
  <c r="BV21" i="111"/>
  <c r="AJ21" i="111"/>
  <c r="BZ21" i="111"/>
  <c r="BK21" i="111"/>
  <c r="BP21" i="111"/>
  <c r="AZ21" i="111"/>
  <c r="BS21" i="111"/>
  <c r="BM21" i="111"/>
  <c r="BC21" i="111"/>
  <c r="CC21" i="111"/>
  <c r="BU21" i="111"/>
  <c r="BT21" i="111"/>
  <c r="BA21" i="111"/>
  <c r="AX21" i="111"/>
  <c r="BI21" i="111"/>
  <c r="BD21" i="111"/>
  <c r="BX21" i="111"/>
  <c r="AI21" i="111"/>
  <c r="U21" i="111" s="1"/>
  <c r="CA21" i="111"/>
  <c r="BN21" i="111"/>
  <c r="AW21" i="111"/>
  <c r="Y21" i="111" s="1"/>
  <c r="A21" i="111"/>
  <c r="BJ21" i="111"/>
  <c r="BE21" i="111"/>
  <c r="BF21" i="111"/>
  <c r="BW21" i="111"/>
  <c r="BB21" i="111"/>
  <c r="AY21" i="111"/>
  <c r="BL21" i="111"/>
  <c r="BQ21" i="111"/>
  <c r="B16" i="120"/>
  <c r="X9" i="111"/>
  <c r="Z9" i="111" s="1"/>
  <c r="W9" i="111"/>
  <c r="AB9" i="111" s="1"/>
  <c r="AD8" i="111"/>
  <c r="AF8" i="111" s="1"/>
  <c r="AH8" i="111" s="1"/>
  <c r="AP8" i="111"/>
  <c r="AQ8" i="111"/>
  <c r="AM8" i="111"/>
  <c r="AL8" i="111"/>
  <c r="AK8" i="111"/>
  <c r="AT8" i="111"/>
  <c r="AO8" i="111"/>
  <c r="AN8" i="111"/>
  <c r="AS8" i="111"/>
  <c r="AR8" i="111"/>
  <c r="V11" i="111" l="1"/>
  <c r="B17" i="120"/>
  <c r="AD12" i="111"/>
  <c r="AF12" i="111" s="1"/>
  <c r="AH12" i="111" s="1"/>
  <c r="AP12" i="111"/>
  <c r="AQ12" i="111"/>
  <c r="AO12" i="111"/>
  <c r="AM12" i="111"/>
  <c r="AT12" i="111"/>
  <c r="AL12" i="111"/>
  <c r="AN12" i="111"/>
  <c r="AS12" i="111"/>
  <c r="AK12" i="111"/>
  <c r="AR12" i="111"/>
  <c r="AC11" i="111"/>
  <c r="B23" i="111"/>
  <c r="CD18" i="111"/>
  <c r="AG18" i="111" s="1"/>
  <c r="M16" i="120"/>
  <c r="W10" i="111"/>
  <c r="AB10" i="111" s="1"/>
  <c r="S10" i="111"/>
  <c r="AA10" i="111"/>
  <c r="G17" i="120"/>
  <c r="AC8" i="111"/>
  <c r="D13" i="111"/>
  <c r="I17" i="120"/>
  <c r="K14" i="120"/>
  <c r="W14" i="120" s="1"/>
  <c r="D14" i="111" s="1"/>
  <c r="R14" i="111" s="1"/>
  <c r="D19" i="120"/>
  <c r="BG22" i="111"/>
  <c r="BF22" i="111"/>
  <c r="CA22" i="111"/>
  <c r="BL22" i="111"/>
  <c r="AX22" i="111"/>
  <c r="BV22" i="111"/>
  <c r="BJ22" i="111"/>
  <c r="BU22" i="111"/>
  <c r="BC22" i="111"/>
  <c r="BN22" i="111"/>
  <c r="BE22" i="111"/>
  <c r="CB22" i="111"/>
  <c r="CC22" i="111"/>
  <c r="BD22" i="111"/>
  <c r="AI22" i="111"/>
  <c r="U22" i="111" s="1"/>
  <c r="AJ22" i="111"/>
  <c r="BA22" i="111"/>
  <c r="BH22" i="111"/>
  <c r="BX22" i="111"/>
  <c r="BO22" i="111"/>
  <c r="BT22" i="111"/>
  <c r="BI22" i="111"/>
  <c r="BB22" i="111"/>
  <c r="AW22" i="111"/>
  <c r="Y22" i="111" s="1"/>
  <c r="BS22" i="111"/>
  <c r="BY22" i="111"/>
  <c r="AY22" i="111"/>
  <c r="AZ22" i="111"/>
  <c r="BW22" i="111"/>
  <c r="BM22" i="111"/>
  <c r="BP22" i="111"/>
  <c r="BK22" i="111"/>
  <c r="A22" i="111"/>
  <c r="BQ22" i="111"/>
  <c r="BZ22" i="111"/>
  <c r="I18" i="120" l="1"/>
  <c r="B18" i="120"/>
  <c r="BZ23" i="111"/>
  <c r="BA23" i="111"/>
  <c r="AX23" i="111"/>
  <c r="BH23" i="111"/>
  <c r="AZ23" i="111"/>
  <c r="BJ23" i="111"/>
  <c r="CA23" i="111"/>
  <c r="BG23" i="111"/>
  <c r="BL23" i="111"/>
  <c r="BK23" i="111"/>
  <c r="BC23" i="111"/>
  <c r="BW23" i="111"/>
  <c r="AY23" i="111"/>
  <c r="BB23" i="111"/>
  <c r="BV23" i="111"/>
  <c r="BT23" i="111"/>
  <c r="BQ23" i="111"/>
  <c r="BS23" i="111"/>
  <c r="BP23" i="111"/>
  <c r="BD23" i="111"/>
  <c r="BY23" i="111"/>
  <c r="BI23" i="111"/>
  <c r="BF23" i="111"/>
  <c r="A23" i="111"/>
  <c r="BM23" i="111"/>
  <c r="BO23" i="111"/>
  <c r="AI23" i="111"/>
  <c r="U23" i="111" s="1"/>
  <c r="BE23" i="111"/>
  <c r="AJ23" i="111"/>
  <c r="BX23" i="111"/>
  <c r="BU23" i="111"/>
  <c r="CC23" i="111"/>
  <c r="AW23" i="111"/>
  <c r="Y23" i="111" s="1"/>
  <c r="BN23" i="111"/>
  <c r="CB23" i="111"/>
  <c r="D20" i="120"/>
  <c r="S14" i="111"/>
  <c r="AA14" i="111"/>
  <c r="R13" i="111"/>
  <c r="K15" i="120"/>
  <c r="W15" i="120" s="1"/>
  <c r="AO10" i="111"/>
  <c r="AS10" i="111"/>
  <c r="AQ10" i="111"/>
  <c r="AL10" i="111"/>
  <c r="AD10" i="111"/>
  <c r="AF10" i="111" s="1"/>
  <c r="AH10" i="111" s="1"/>
  <c r="AR10" i="111"/>
  <c r="AT10" i="111"/>
  <c r="AP10" i="111"/>
  <c r="AM10" i="111"/>
  <c r="AN10" i="111"/>
  <c r="AK10" i="111"/>
  <c r="G18" i="120"/>
  <c r="X11" i="111"/>
  <c r="Z11" i="111" s="1"/>
  <c r="W11" i="111"/>
  <c r="AB11" i="111" s="1"/>
  <c r="CD19" i="111"/>
  <c r="AG19" i="111" s="1"/>
  <c r="M17" i="120"/>
  <c r="B24" i="111"/>
  <c r="AC12" i="111"/>
  <c r="B19" i="120" l="1"/>
  <c r="CD20" i="111"/>
  <c r="AG20" i="111" s="1"/>
  <c r="G19" i="120"/>
  <c r="AW24" i="111"/>
  <c r="Y24" i="111" s="1"/>
  <c r="BB24" i="111"/>
  <c r="BA24" i="111"/>
  <c r="BY24" i="111"/>
  <c r="BN24" i="111"/>
  <c r="AJ24" i="111"/>
  <c r="AZ24" i="111"/>
  <c r="BS24" i="111"/>
  <c r="AI24" i="111"/>
  <c r="U24" i="111" s="1"/>
  <c r="BF24" i="111"/>
  <c r="BE24" i="111"/>
  <c r="BQ24" i="111"/>
  <c r="BD24" i="111"/>
  <c r="BH24" i="111"/>
  <c r="BI24" i="111"/>
  <c r="CC24" i="111"/>
  <c r="BC24" i="111"/>
  <c r="AY24" i="111"/>
  <c r="BP24" i="111"/>
  <c r="A24" i="111"/>
  <c r="BU24" i="111"/>
  <c r="BW24" i="111"/>
  <c r="BX24" i="111"/>
  <c r="CA24" i="111"/>
  <c r="AX24" i="111"/>
  <c r="BK24" i="111"/>
  <c r="CB24" i="111"/>
  <c r="BG24" i="111"/>
  <c r="BM24" i="111"/>
  <c r="BT24" i="111"/>
  <c r="BO24" i="111"/>
  <c r="BV24" i="111"/>
  <c r="BJ24" i="111"/>
  <c r="BZ24" i="111"/>
  <c r="BL24" i="111"/>
  <c r="D15" i="111"/>
  <c r="D21" i="120"/>
  <c r="I19" i="120"/>
  <c r="AC10" i="111"/>
  <c r="V12" i="111"/>
  <c r="K16" i="120"/>
  <c r="W16" i="120" s="1"/>
  <c r="D16" i="111" s="1"/>
  <c r="R16" i="111" s="1"/>
  <c r="S13" i="111"/>
  <c r="AA13" i="111"/>
  <c r="B25" i="111"/>
  <c r="AD14" i="111"/>
  <c r="AF14" i="111" s="1"/>
  <c r="AH14" i="111" s="1"/>
  <c r="AQ14" i="111"/>
  <c r="AP14" i="111"/>
  <c r="AO14" i="111"/>
  <c r="AS14" i="111"/>
  <c r="AR14" i="111"/>
  <c r="AK14" i="111"/>
  <c r="AN14" i="111"/>
  <c r="AM14" i="111"/>
  <c r="AT14" i="111"/>
  <c r="AL14" i="111"/>
  <c r="M18" i="120"/>
  <c r="I20" i="120" l="1"/>
  <c r="G21" i="120"/>
  <c r="B20" i="120"/>
  <c r="BH25" i="111"/>
  <c r="CB25" i="111"/>
  <c r="BN25" i="111"/>
  <c r="BI25" i="111"/>
  <c r="CC25" i="111"/>
  <c r="BO25" i="111"/>
  <c r="BY25" i="111"/>
  <c r="BQ25" i="111"/>
  <c r="BM25" i="111"/>
  <c r="BX25" i="111"/>
  <c r="BU25" i="111"/>
  <c r="BJ25" i="111"/>
  <c r="BE25" i="111"/>
  <c r="AX25" i="111"/>
  <c r="AI25" i="111"/>
  <c r="U25" i="111" s="1"/>
  <c r="BT25" i="111"/>
  <c r="BZ25" i="111"/>
  <c r="A25" i="111"/>
  <c r="BS25" i="111"/>
  <c r="AW25" i="111"/>
  <c r="Y25" i="111" s="1"/>
  <c r="BB25" i="111"/>
  <c r="BC25" i="111"/>
  <c r="AZ25" i="111"/>
  <c r="CA25" i="111"/>
  <c r="BV25" i="111"/>
  <c r="AY25" i="111"/>
  <c r="BK25" i="111"/>
  <c r="AJ25" i="111"/>
  <c r="BA25" i="111"/>
  <c r="BF25" i="111"/>
  <c r="BL25" i="111"/>
  <c r="BP25" i="111"/>
  <c r="BG25" i="111"/>
  <c r="BD25" i="111"/>
  <c r="BW25" i="111"/>
  <c r="X12" i="111"/>
  <c r="Z12" i="111" s="1"/>
  <c r="W12" i="111"/>
  <c r="AB12" i="111" s="1"/>
  <c r="D22" i="120"/>
  <c r="M19" i="120"/>
  <c r="CD21" i="111"/>
  <c r="AG21" i="111" s="1"/>
  <c r="B26" i="111"/>
  <c r="S16" i="111"/>
  <c r="AA16" i="111"/>
  <c r="K17" i="120"/>
  <c r="W17" i="120" s="1"/>
  <c r="D17" i="111" s="1"/>
  <c r="R17" i="111" s="1"/>
  <c r="V13" i="111"/>
  <c r="AC14" i="111"/>
  <c r="AD13" i="111"/>
  <c r="AF13" i="111" s="1"/>
  <c r="AH13" i="111" s="1"/>
  <c r="AL13" i="111"/>
  <c r="AT13" i="111"/>
  <c r="AM13" i="111"/>
  <c r="AS13" i="111"/>
  <c r="AO13" i="111"/>
  <c r="AP13" i="111"/>
  <c r="AK13" i="111"/>
  <c r="AN13" i="111"/>
  <c r="AQ13" i="111"/>
  <c r="AR13" i="111"/>
  <c r="V14" i="111"/>
  <c r="R15" i="111"/>
  <c r="G20" i="120"/>
  <c r="AC13" i="111" l="1"/>
  <c r="V15" i="111"/>
  <c r="X15" i="111" s="1"/>
  <c r="Z15" i="111" s="1"/>
  <c r="K18" i="120"/>
  <c r="W18" i="120" s="1"/>
  <c r="D18" i="111" s="1"/>
  <c r="D23" i="120"/>
  <c r="CD22" i="111"/>
  <c r="AG22" i="111" s="1"/>
  <c r="S17" i="111"/>
  <c r="AA17" i="111"/>
  <c r="M20" i="120"/>
  <c r="B27" i="111"/>
  <c r="B21" i="120"/>
  <c r="X13" i="111"/>
  <c r="Z13" i="111" s="1"/>
  <c r="W13" i="111"/>
  <c r="AB13" i="111" s="1"/>
  <c r="AD16" i="111"/>
  <c r="AF16" i="111" s="1"/>
  <c r="AH16" i="111" s="1"/>
  <c r="AN16" i="111"/>
  <c r="AM16" i="111"/>
  <c r="AT16" i="111"/>
  <c r="AR16" i="111"/>
  <c r="AL16" i="111"/>
  <c r="AQ16" i="111"/>
  <c r="AK16" i="111"/>
  <c r="AP16" i="111"/>
  <c r="AS16" i="111"/>
  <c r="AO16" i="111"/>
  <c r="S15" i="111"/>
  <c r="AA15" i="111"/>
  <c r="AW26" i="111"/>
  <c r="Y26" i="111" s="1"/>
  <c r="BC26" i="111"/>
  <c r="AJ26" i="111"/>
  <c r="BW26" i="111"/>
  <c r="BP26" i="111"/>
  <c r="AY26" i="111"/>
  <c r="A26" i="111"/>
  <c r="BT26" i="111"/>
  <c r="BM26" i="111"/>
  <c r="BH26" i="111"/>
  <c r="AZ26" i="111"/>
  <c r="BF26" i="111"/>
  <c r="BB26" i="111"/>
  <c r="BI26" i="111"/>
  <c r="BE26" i="111"/>
  <c r="BQ26" i="111"/>
  <c r="CB26" i="111"/>
  <c r="BO26" i="111"/>
  <c r="BD26" i="111"/>
  <c r="BX26" i="111"/>
  <c r="BY26" i="111"/>
  <c r="AI26" i="111"/>
  <c r="U26" i="111" s="1"/>
  <c r="BN26" i="111"/>
  <c r="BU26" i="111"/>
  <c r="CC26" i="111"/>
  <c r="BG26" i="111"/>
  <c r="BS26" i="111"/>
  <c r="BZ26" i="111"/>
  <c r="BA26" i="111"/>
  <c r="BV26" i="111"/>
  <c r="BJ26" i="111"/>
  <c r="BL26" i="111"/>
  <c r="BK26" i="111"/>
  <c r="AX26" i="111"/>
  <c r="CA26" i="111"/>
  <c r="X14" i="111"/>
  <c r="Z14" i="111" s="1"/>
  <c r="W14" i="111"/>
  <c r="AB14" i="111" s="1"/>
  <c r="I21" i="120"/>
  <c r="W15" i="111" l="1"/>
  <c r="AB15" i="111" s="1"/>
  <c r="CD23" i="111"/>
  <c r="AG23" i="111" s="1"/>
  <c r="D24" i="120"/>
  <c r="B22" i="120"/>
  <c r="V16" i="111"/>
  <c r="R18" i="111"/>
  <c r="AD15" i="111"/>
  <c r="AF15" i="111" s="1"/>
  <c r="AH15" i="111" s="1"/>
  <c r="AP15" i="111"/>
  <c r="AO15" i="111"/>
  <c r="AQ15" i="111"/>
  <c r="AM15" i="111"/>
  <c r="AN15" i="111"/>
  <c r="AK15" i="111"/>
  <c r="AR15" i="111"/>
  <c r="AS15" i="111"/>
  <c r="AT15" i="111"/>
  <c r="AL15" i="111"/>
  <c r="AC16" i="111"/>
  <c r="K19" i="120"/>
  <c r="W19" i="120" s="1"/>
  <c r="D19" i="111" s="1"/>
  <c r="R19" i="111" s="1"/>
  <c r="I22" i="120"/>
  <c r="M21" i="120"/>
  <c r="B28" i="111"/>
  <c r="BZ27" i="111"/>
  <c r="BF27" i="111"/>
  <c r="AZ27" i="111"/>
  <c r="BJ27" i="111"/>
  <c r="A27" i="111"/>
  <c r="BN27" i="111"/>
  <c r="AJ27" i="111"/>
  <c r="BQ27" i="111"/>
  <c r="BV27" i="111"/>
  <c r="BP27" i="111"/>
  <c r="BO27" i="111"/>
  <c r="CC27" i="111"/>
  <c r="BT27" i="111"/>
  <c r="BC27" i="111"/>
  <c r="BW27" i="111"/>
  <c r="AI27" i="111"/>
  <c r="CA27" i="111"/>
  <c r="BX27" i="111"/>
  <c r="BY27" i="111"/>
  <c r="U27" i="111"/>
  <c r="AW27" i="111"/>
  <c r="Y27" i="111" s="1"/>
  <c r="BB27" i="111"/>
  <c r="BI27" i="111"/>
  <c r="BE27" i="111"/>
  <c r="AX27" i="111"/>
  <c r="BM27" i="111"/>
  <c r="BD27" i="111"/>
  <c r="BG27" i="111"/>
  <c r="AY27" i="111"/>
  <c r="BK27" i="111"/>
  <c r="CB27" i="111"/>
  <c r="BA27" i="111"/>
  <c r="BL27" i="111"/>
  <c r="BH27" i="111"/>
  <c r="BU27" i="111"/>
  <c r="BS27" i="111"/>
  <c r="G22" i="120"/>
  <c r="AD17" i="111"/>
  <c r="AF17" i="111" s="1"/>
  <c r="AH17" i="111" s="1"/>
  <c r="AS17" i="111"/>
  <c r="AK17" i="111"/>
  <c r="AN17" i="111"/>
  <c r="AL17" i="111"/>
  <c r="AR17" i="111"/>
  <c r="AO17" i="111"/>
  <c r="AP17" i="111"/>
  <c r="AM17" i="111"/>
  <c r="AQ17" i="111"/>
  <c r="AT17" i="111"/>
  <c r="CD24" i="111" l="1"/>
  <c r="AG24" i="111" s="1"/>
  <c r="S18" i="111"/>
  <c r="AA18" i="111"/>
  <c r="G23" i="120"/>
  <c r="D25" i="120"/>
  <c r="M22" i="120"/>
  <c r="I23" i="120"/>
  <c r="M23" i="120"/>
  <c r="BE28" i="111"/>
  <c r="BJ28" i="111"/>
  <c r="CC28" i="111"/>
  <c r="BP28" i="111"/>
  <c r="BO28" i="111"/>
  <c r="BX28" i="111"/>
  <c r="BT28" i="111"/>
  <c r="CB28" i="111"/>
  <c r="BB28" i="111"/>
  <c r="BQ28" i="111"/>
  <c r="BG28" i="111"/>
  <c r="AZ28" i="111"/>
  <c r="BK28" i="111"/>
  <c r="BH28" i="111"/>
  <c r="AW28" i="111"/>
  <c r="Y28" i="111" s="1"/>
  <c r="BI28" i="111"/>
  <c r="BU28" i="111"/>
  <c r="BF28" i="111"/>
  <c r="AY28" i="111"/>
  <c r="BD28" i="111"/>
  <c r="BW28" i="111"/>
  <c r="A28" i="111"/>
  <c r="BM28" i="111"/>
  <c r="BY28" i="111"/>
  <c r="BV28" i="111"/>
  <c r="BL28" i="111"/>
  <c r="BN28" i="111"/>
  <c r="AJ28" i="111"/>
  <c r="AX28" i="111"/>
  <c r="BS28" i="111"/>
  <c r="BA28" i="111"/>
  <c r="BZ28" i="111"/>
  <c r="AI28" i="111"/>
  <c r="U28" i="111" s="1"/>
  <c r="BC28" i="111"/>
  <c r="CA28" i="111"/>
  <c r="S19" i="111"/>
  <c r="AA19" i="111"/>
  <c r="B23" i="120"/>
  <c r="K20" i="120"/>
  <c r="W20" i="120" s="1"/>
  <c r="D20" i="111" s="1"/>
  <c r="R20" i="111" s="1"/>
  <c r="B29" i="111"/>
  <c r="X16" i="111"/>
  <c r="Z16" i="111" s="1"/>
  <c r="W16" i="111"/>
  <c r="AB16" i="111" s="1"/>
  <c r="AC17" i="111"/>
  <c r="AC15" i="111"/>
  <c r="G24" i="120" l="1"/>
  <c r="I24" i="120"/>
  <c r="B24" i="120"/>
  <c r="CD25" i="111"/>
  <c r="AG25" i="111" s="1"/>
  <c r="S20" i="111"/>
  <c r="AA20" i="111"/>
  <c r="V17" i="111"/>
  <c r="M24" i="120"/>
  <c r="AD19" i="111"/>
  <c r="AF19" i="111" s="1"/>
  <c r="AH19" i="111" s="1"/>
  <c r="AS19" i="111"/>
  <c r="AR19" i="111"/>
  <c r="AT19" i="111"/>
  <c r="AK19" i="111"/>
  <c r="AQ19" i="111"/>
  <c r="AN19" i="111"/>
  <c r="AO19" i="111"/>
  <c r="AP19" i="111"/>
  <c r="AM19" i="111"/>
  <c r="AL19" i="111"/>
  <c r="K21" i="120"/>
  <c r="W21" i="120" s="1"/>
  <c r="D21" i="111" s="1"/>
  <c r="R21" i="111" s="1"/>
  <c r="AW29" i="111"/>
  <c r="Y29" i="111" s="1"/>
  <c r="BP29" i="111"/>
  <c r="AI29" i="111"/>
  <c r="BM29" i="111"/>
  <c r="CA29" i="111"/>
  <c r="BO29" i="111"/>
  <c r="BY29" i="111"/>
  <c r="BN29" i="111"/>
  <c r="CC29" i="111"/>
  <c r="BW29" i="111"/>
  <c r="BT29" i="111"/>
  <c r="AX29" i="111"/>
  <c r="BV29" i="111"/>
  <c r="BA29" i="111"/>
  <c r="BK29" i="111"/>
  <c r="AJ29" i="111"/>
  <c r="BX29" i="111"/>
  <c r="BG29" i="111"/>
  <c r="A29" i="111"/>
  <c r="BL29" i="111"/>
  <c r="BD29" i="111"/>
  <c r="BC29" i="111"/>
  <c r="AY29" i="111"/>
  <c r="CB29" i="111"/>
  <c r="BF29" i="111"/>
  <c r="AZ29" i="111"/>
  <c r="BS29" i="111"/>
  <c r="BU29" i="111"/>
  <c r="BJ29" i="111"/>
  <c r="BQ29" i="111"/>
  <c r="BI29" i="111"/>
  <c r="BE29" i="111"/>
  <c r="BH29" i="111"/>
  <c r="BB29" i="111"/>
  <c r="U29" i="111"/>
  <c r="BZ29" i="111"/>
  <c r="D26" i="120"/>
  <c r="B30" i="111"/>
  <c r="AD18" i="111"/>
  <c r="AF18" i="111" s="1"/>
  <c r="AH18" i="111" s="1"/>
  <c r="AK18" i="111"/>
  <c r="AR18" i="111"/>
  <c r="AL18" i="111"/>
  <c r="AS18" i="111"/>
  <c r="AP18" i="111"/>
  <c r="AO18" i="111"/>
  <c r="AQ18" i="111"/>
  <c r="AT18" i="111"/>
  <c r="AN18" i="111"/>
  <c r="AM18" i="111"/>
  <c r="G25" i="120" l="1"/>
  <c r="D27" i="120"/>
  <c r="B25" i="120"/>
  <c r="B31" i="111"/>
  <c r="V18" i="111"/>
  <c r="AC19" i="111"/>
  <c r="AC18" i="111"/>
  <c r="AI30" i="111"/>
  <c r="U30" i="111" s="1"/>
  <c r="BK30" i="111"/>
  <c r="BN30" i="111"/>
  <c r="BQ30" i="111"/>
  <c r="BE30" i="111"/>
  <c r="BY30" i="111"/>
  <c r="BU30" i="111"/>
  <c r="AY30" i="111"/>
  <c r="AZ30" i="111"/>
  <c r="AJ30" i="111"/>
  <c r="CA30" i="111"/>
  <c r="BV30" i="111"/>
  <c r="BL30" i="111"/>
  <c r="BP30" i="111"/>
  <c r="CC30" i="111"/>
  <c r="BC30" i="111"/>
  <c r="BF30" i="111"/>
  <c r="AX30" i="111"/>
  <c r="CB30" i="111"/>
  <c r="BT30" i="111"/>
  <c r="BZ30" i="111"/>
  <c r="BJ30" i="111"/>
  <c r="AW30" i="111"/>
  <c r="Y30" i="111" s="1"/>
  <c r="BG30" i="111"/>
  <c r="BS30" i="111"/>
  <c r="BM30" i="111"/>
  <c r="A30" i="111"/>
  <c r="BB30" i="111"/>
  <c r="BI30" i="111"/>
  <c r="BO30" i="111"/>
  <c r="BD30" i="111"/>
  <c r="BW30" i="111"/>
  <c r="BX30" i="111"/>
  <c r="BH30" i="111"/>
  <c r="BA30" i="111"/>
  <c r="S21" i="111"/>
  <c r="AA21" i="111"/>
  <c r="CD26" i="111"/>
  <c r="AG26" i="111" s="1"/>
  <c r="AD20" i="111"/>
  <c r="AF20" i="111" s="1"/>
  <c r="AH20" i="111" s="1"/>
  <c r="AQ20" i="111"/>
  <c r="AR20" i="111"/>
  <c r="AS20" i="111"/>
  <c r="AN20" i="111"/>
  <c r="AP20" i="111"/>
  <c r="AO20" i="111"/>
  <c r="AT20" i="111"/>
  <c r="AM20" i="111"/>
  <c r="AL20" i="111"/>
  <c r="AK20" i="111"/>
  <c r="I25" i="120"/>
  <c r="K22" i="120"/>
  <c r="W22" i="120" s="1"/>
  <c r="D22" i="111" s="1"/>
  <c r="R22" i="111" s="1"/>
  <c r="X17" i="111"/>
  <c r="Z17" i="111" s="1"/>
  <c r="W17" i="111"/>
  <c r="AB17" i="111" s="1"/>
  <c r="V19" i="111" l="1"/>
  <c r="B26" i="120"/>
  <c r="AC20" i="111"/>
  <c r="G26" i="120"/>
  <c r="M25" i="120"/>
  <c r="K23" i="120"/>
  <c r="W23" i="120" s="1"/>
  <c r="D23" i="111" s="1"/>
  <c r="R23" i="111" s="1"/>
  <c r="I26" i="120"/>
  <c r="X18" i="111"/>
  <c r="Z18" i="111" s="1"/>
  <c r="W18" i="111"/>
  <c r="AB18" i="111" s="1"/>
  <c r="B32" i="111"/>
  <c r="CD27" i="111"/>
  <c r="AG27" i="111" s="1"/>
  <c r="D28" i="120"/>
  <c r="BD31" i="111"/>
  <c r="AX31" i="111"/>
  <c r="BH31" i="111"/>
  <c r="A31" i="111"/>
  <c r="BN31" i="111"/>
  <c r="BP31" i="111"/>
  <c r="AY31" i="111"/>
  <c r="BS31" i="111"/>
  <c r="BC31" i="111"/>
  <c r="BW31" i="111"/>
  <c r="BA31" i="111"/>
  <c r="BB31" i="111"/>
  <c r="CA31" i="111"/>
  <c r="BI31" i="111"/>
  <c r="BL31" i="111"/>
  <c r="BM31" i="111"/>
  <c r="CB31" i="111"/>
  <c r="BT31" i="111"/>
  <c r="BG31" i="111"/>
  <c r="AZ31" i="111"/>
  <c r="BO31" i="111"/>
  <c r="BV31" i="111"/>
  <c r="AJ31" i="111"/>
  <c r="BE31" i="111"/>
  <c r="BY31" i="111"/>
  <c r="BF31" i="111"/>
  <c r="CC31" i="111"/>
  <c r="BX31" i="111"/>
  <c r="AW31" i="111"/>
  <c r="Y31" i="111" s="1"/>
  <c r="AI31" i="111"/>
  <c r="U31" i="111" s="1"/>
  <c r="BZ31" i="111"/>
  <c r="BU31" i="111"/>
  <c r="BQ31" i="111"/>
  <c r="BJ31" i="111"/>
  <c r="BK31" i="111"/>
  <c r="S22" i="111"/>
  <c r="AA22" i="111"/>
  <c r="AD21" i="111"/>
  <c r="AF21" i="111" s="1"/>
  <c r="AH21" i="111" s="1"/>
  <c r="AT21" i="111"/>
  <c r="AQ21" i="111"/>
  <c r="AO21" i="111"/>
  <c r="AM21" i="111"/>
  <c r="AK21" i="111"/>
  <c r="AR21" i="111"/>
  <c r="AP21" i="111"/>
  <c r="AN21" i="111"/>
  <c r="AS21" i="111"/>
  <c r="AL21" i="111"/>
  <c r="G27" i="120" l="1"/>
  <c r="CD28" i="111"/>
  <c r="AG28" i="111" s="1"/>
  <c r="D29" i="120"/>
  <c r="AD22" i="111"/>
  <c r="AF22" i="111" s="1"/>
  <c r="AH22" i="111" s="1"/>
  <c r="AK22" i="111"/>
  <c r="AN22" i="111"/>
  <c r="AM22" i="111"/>
  <c r="AS22" i="111"/>
  <c r="AL22" i="111"/>
  <c r="AO22" i="111"/>
  <c r="AT22" i="111"/>
  <c r="AR22" i="111"/>
  <c r="AP22" i="111"/>
  <c r="AQ22" i="111"/>
  <c r="V21" i="111"/>
  <c r="V20" i="111"/>
  <c r="B27" i="120"/>
  <c r="K24" i="120"/>
  <c r="W24" i="120" s="1"/>
  <c r="D24" i="111" s="1"/>
  <c r="R24" i="111" s="1"/>
  <c r="B33" i="111"/>
  <c r="I27" i="120"/>
  <c r="AC21" i="111"/>
  <c r="M26" i="120"/>
  <c r="AW32" i="111"/>
  <c r="Y32" i="111" s="1"/>
  <c r="BB32" i="111"/>
  <c r="BA32" i="111"/>
  <c r="BY32" i="111"/>
  <c r="BH32" i="111"/>
  <c r="BD32" i="111"/>
  <c r="AI32" i="111"/>
  <c r="U32" i="111" s="1"/>
  <c r="BP32" i="111"/>
  <c r="BO32" i="111"/>
  <c r="BL32" i="111"/>
  <c r="A32" i="111"/>
  <c r="BM32" i="111"/>
  <c r="CC32" i="111"/>
  <c r="CB32" i="111"/>
  <c r="BZ32" i="111"/>
  <c r="BV32" i="111"/>
  <c r="AY32" i="111"/>
  <c r="AX32" i="111"/>
  <c r="BJ32" i="111"/>
  <c r="BC32" i="111"/>
  <c r="BK32" i="111"/>
  <c r="CA32" i="111"/>
  <c r="AZ32" i="111"/>
  <c r="BE32" i="111"/>
  <c r="BQ32" i="111"/>
  <c r="AJ32" i="111"/>
  <c r="BN32" i="111"/>
  <c r="BG32" i="111"/>
  <c r="BS32" i="111"/>
  <c r="BU32" i="111"/>
  <c r="BX32" i="111"/>
  <c r="BW32" i="111"/>
  <c r="BT32" i="111"/>
  <c r="BI32" i="111"/>
  <c r="BF32" i="111"/>
  <c r="S23" i="111"/>
  <c r="AA23" i="111"/>
  <c r="X19" i="111"/>
  <c r="Z19" i="111" s="1"/>
  <c r="W19" i="111"/>
  <c r="AB19" i="111" s="1"/>
  <c r="I28" i="120" l="1"/>
  <c r="V22" i="111"/>
  <c r="X20" i="111"/>
  <c r="Z20" i="111" s="1"/>
  <c r="W20" i="111"/>
  <c r="AB20" i="111" s="1"/>
  <c r="X21" i="111"/>
  <c r="Z21" i="111" s="1"/>
  <c r="W21" i="111"/>
  <c r="AB21" i="111" s="1"/>
  <c r="G28" i="120"/>
  <c r="CD29" i="111"/>
  <c r="AG29" i="111" s="1"/>
  <c r="M27" i="120"/>
  <c r="BT33" i="111"/>
  <c r="BI33" i="111"/>
  <c r="CC33" i="111"/>
  <c r="BN33" i="111"/>
  <c r="BF33" i="111"/>
  <c r="AZ33" i="111"/>
  <c r="A33" i="111"/>
  <c r="AY33" i="111"/>
  <c r="CB33" i="111"/>
  <c r="BW33" i="111"/>
  <c r="BU33" i="111"/>
  <c r="BG33" i="111"/>
  <c r="CA33" i="111"/>
  <c r="BS33" i="111"/>
  <c r="BH33" i="111"/>
  <c r="BC33" i="111"/>
  <c r="BB33" i="111"/>
  <c r="BZ33" i="111"/>
  <c r="BM33" i="111"/>
  <c r="BA33" i="111"/>
  <c r="BO33" i="111"/>
  <c r="BP33" i="111"/>
  <c r="AJ33" i="111"/>
  <c r="BK33" i="111"/>
  <c r="AI33" i="111"/>
  <c r="U33" i="111" s="1"/>
  <c r="BQ33" i="111"/>
  <c r="BE33" i="111"/>
  <c r="BY33" i="111"/>
  <c r="BD33" i="111"/>
  <c r="AW33" i="111"/>
  <c r="Y33" i="111" s="1"/>
  <c r="AX33" i="111"/>
  <c r="BX33" i="111"/>
  <c r="BV33" i="111"/>
  <c r="BJ33" i="111"/>
  <c r="BL33" i="111"/>
  <c r="D30" i="120"/>
  <c r="AC22" i="111"/>
  <c r="B28" i="120"/>
  <c r="AD23" i="111"/>
  <c r="AF23" i="111" s="1"/>
  <c r="AH23" i="111" s="1"/>
  <c r="AO23" i="111"/>
  <c r="AN23" i="111"/>
  <c r="AT23" i="111"/>
  <c r="AS23" i="111"/>
  <c r="AQ23" i="111"/>
  <c r="AP23" i="111"/>
  <c r="AR23" i="111"/>
  <c r="AL23" i="111"/>
  <c r="AK23" i="111"/>
  <c r="AM23" i="111"/>
  <c r="K25" i="120"/>
  <c r="W25" i="120" s="1"/>
  <c r="D25" i="111" s="1"/>
  <c r="R25" i="111" s="1"/>
  <c r="B34" i="111"/>
  <c r="S24" i="111"/>
  <c r="AA24" i="111"/>
  <c r="B29" i="120" l="1"/>
  <c r="G29" i="120"/>
  <c r="M28" i="120"/>
  <c r="AI34" i="111"/>
  <c r="U34" i="111" s="1"/>
  <c r="BG34" i="111"/>
  <c r="BF34" i="111"/>
  <c r="CA34" i="111"/>
  <c r="BX34" i="111"/>
  <c r="BP34" i="111"/>
  <c r="BM34" i="111"/>
  <c r="CB34" i="111"/>
  <c r="BA34" i="111"/>
  <c r="AZ34" i="111"/>
  <c r="AJ34" i="111"/>
  <c r="BI34" i="111"/>
  <c r="BB34" i="111"/>
  <c r="AX34" i="111"/>
  <c r="A34" i="111"/>
  <c r="BL34" i="111"/>
  <c r="AW34" i="111"/>
  <c r="Y34" i="111" s="1"/>
  <c r="BC34" i="111"/>
  <c r="BN34" i="111"/>
  <c r="AY34" i="111"/>
  <c r="BD34" i="111"/>
  <c r="BH34" i="111"/>
  <c r="BT34" i="111"/>
  <c r="BK34" i="111"/>
  <c r="BS34" i="111"/>
  <c r="BJ34" i="111"/>
  <c r="BU34" i="111"/>
  <c r="BQ34" i="111"/>
  <c r="BY34" i="111"/>
  <c r="BO34" i="111"/>
  <c r="BV34" i="111"/>
  <c r="BW34" i="111"/>
  <c r="BE34" i="111"/>
  <c r="CC34" i="111"/>
  <c r="BZ34" i="111"/>
  <c r="I29" i="120"/>
  <c r="AD24" i="111"/>
  <c r="AF24" i="111" s="1"/>
  <c r="AH24" i="111" s="1"/>
  <c r="AM24" i="111"/>
  <c r="AS24" i="111"/>
  <c r="AP24" i="111"/>
  <c r="AL24" i="111"/>
  <c r="AQ24" i="111"/>
  <c r="AN24" i="111"/>
  <c r="AK24" i="111"/>
  <c r="AR24" i="111"/>
  <c r="AT24" i="111"/>
  <c r="AO24" i="111"/>
  <c r="B35" i="111"/>
  <c r="K26" i="120"/>
  <c r="W26" i="120" s="1"/>
  <c r="D26" i="111" s="1"/>
  <c r="R26" i="111" s="1"/>
  <c r="D31" i="120"/>
  <c r="CD30" i="111"/>
  <c r="AG30" i="111" s="1"/>
  <c r="V23" i="111"/>
  <c r="AC23" i="111"/>
  <c r="S25" i="111"/>
  <c r="AA25" i="111"/>
  <c r="X22" i="111"/>
  <c r="Z22" i="111" s="1"/>
  <c r="W22" i="111"/>
  <c r="AB22" i="111" s="1"/>
  <c r="B30" i="120" l="1"/>
  <c r="K27" i="120"/>
  <c r="W27" i="120" s="1"/>
  <c r="D27" i="111" s="1"/>
  <c r="R27" i="111" s="1"/>
  <c r="M29" i="120"/>
  <c r="AD25" i="111"/>
  <c r="AF25" i="111" s="1"/>
  <c r="AH25" i="111" s="1"/>
  <c r="AT25" i="111"/>
  <c r="AS25" i="111"/>
  <c r="AK25" i="111"/>
  <c r="AQ25" i="111"/>
  <c r="AP25" i="111"/>
  <c r="AR25" i="111"/>
  <c r="AM25" i="111"/>
  <c r="AO25" i="111"/>
  <c r="AL25" i="111"/>
  <c r="AN25" i="111"/>
  <c r="G30" i="120"/>
  <c r="S26" i="111"/>
  <c r="AA26" i="111"/>
  <c r="BZ35" i="111"/>
  <c r="AY35" i="111"/>
  <c r="CC35" i="111"/>
  <c r="BG35" i="111"/>
  <c r="CA35" i="111"/>
  <c r="AJ35" i="111"/>
  <c r="CB35" i="111"/>
  <c r="BK35" i="111"/>
  <c r="BV35" i="111"/>
  <c r="BJ35" i="111"/>
  <c r="BU35" i="111"/>
  <c r="BH35" i="111"/>
  <c r="BE35" i="111"/>
  <c r="BY35" i="111"/>
  <c r="AW35" i="111"/>
  <c r="Y35" i="111" s="1"/>
  <c r="AZ35" i="111"/>
  <c r="BS35" i="111"/>
  <c r="BB35" i="111"/>
  <c r="AX35" i="111"/>
  <c r="BQ35" i="111"/>
  <c r="BN35" i="111"/>
  <c r="BD35" i="111"/>
  <c r="BI35" i="111"/>
  <c r="BX35" i="111"/>
  <c r="BF35" i="111"/>
  <c r="BC35" i="111"/>
  <c r="BW35" i="111"/>
  <c r="BT35" i="111"/>
  <c r="BL35" i="111"/>
  <c r="BM35" i="111"/>
  <c r="BO35" i="111"/>
  <c r="BA35" i="111"/>
  <c r="AI35" i="111"/>
  <c r="U35" i="111" s="1"/>
  <c r="A35" i="111"/>
  <c r="BP35" i="111"/>
  <c r="B36" i="111"/>
  <c r="V24" i="111"/>
  <c r="CD31" i="111"/>
  <c r="AG31" i="111" s="1"/>
  <c r="D32" i="120"/>
  <c r="X23" i="111"/>
  <c r="Z23" i="111" s="1"/>
  <c r="W23" i="111"/>
  <c r="AB23" i="111" s="1"/>
  <c r="I30" i="120"/>
  <c r="AC24" i="111"/>
  <c r="M30" i="120" l="1"/>
  <c r="I32" i="120"/>
  <c r="X24" i="111"/>
  <c r="Z24" i="111" s="1"/>
  <c r="W24" i="111"/>
  <c r="AB24" i="111" s="1"/>
  <c r="G31" i="120"/>
  <c r="B37" i="111"/>
  <c r="V25" i="111"/>
  <c r="A36" i="111"/>
  <c r="BI36" i="111"/>
  <c r="BQ36" i="111"/>
  <c r="AZ36" i="111"/>
  <c r="BS36" i="111"/>
  <c r="BF36" i="111"/>
  <c r="BW36" i="111"/>
  <c r="BZ36" i="111"/>
  <c r="BB36" i="111"/>
  <c r="BJ36" i="111"/>
  <c r="BO36" i="111"/>
  <c r="AI36" i="111"/>
  <c r="U36" i="111" s="1"/>
  <c r="CA36" i="111"/>
  <c r="CB36" i="111"/>
  <c r="BN36" i="111"/>
  <c r="AW36" i="111"/>
  <c r="Y36" i="111" s="1"/>
  <c r="BE36" i="111"/>
  <c r="BU36" i="111"/>
  <c r="AY36" i="111"/>
  <c r="BG36" i="111"/>
  <c r="BC36" i="111"/>
  <c r="BK36" i="111"/>
  <c r="BM36" i="111"/>
  <c r="BY36" i="111"/>
  <c r="BL36" i="111"/>
  <c r="BP36" i="111"/>
  <c r="AJ36" i="111"/>
  <c r="BT36" i="111"/>
  <c r="BA36" i="111"/>
  <c r="BH36" i="111"/>
  <c r="CC36" i="111"/>
  <c r="BD36" i="111"/>
  <c r="BX36" i="111"/>
  <c r="AX36" i="111"/>
  <c r="BV36" i="111"/>
  <c r="K28" i="120"/>
  <c r="W28" i="120" s="1"/>
  <c r="D28" i="111" s="1"/>
  <c r="R28" i="111" s="1"/>
  <c r="I31" i="120"/>
  <c r="D33" i="120"/>
  <c r="AD26" i="111"/>
  <c r="AF26" i="111" s="1"/>
  <c r="AH26" i="111" s="1"/>
  <c r="AO26" i="111"/>
  <c r="AP26" i="111"/>
  <c r="AT26" i="111"/>
  <c r="AR26" i="111"/>
  <c r="AQ26" i="111"/>
  <c r="AM26" i="111"/>
  <c r="AS26" i="111"/>
  <c r="AL26" i="111"/>
  <c r="AK26" i="111"/>
  <c r="AN26" i="111"/>
  <c r="B31" i="120"/>
  <c r="CD32" i="111"/>
  <c r="AG32" i="111" s="1"/>
  <c r="AC25" i="111"/>
  <c r="S27" i="111"/>
  <c r="AA27" i="111"/>
  <c r="G32" i="120" l="1"/>
  <c r="CD33" i="111"/>
  <c r="AG33" i="111" s="1"/>
  <c r="M31" i="120"/>
  <c r="S28" i="111"/>
  <c r="AA28" i="111"/>
  <c r="B38" i="111"/>
  <c r="AD27" i="111"/>
  <c r="AF27" i="111" s="1"/>
  <c r="AH27" i="111" s="1"/>
  <c r="AQ27" i="111"/>
  <c r="AT27" i="111"/>
  <c r="AK27" i="111"/>
  <c r="AO27" i="111"/>
  <c r="AS27" i="111"/>
  <c r="AM27" i="111"/>
  <c r="AL27" i="111"/>
  <c r="AN27" i="111"/>
  <c r="AP27" i="111"/>
  <c r="AR27" i="111"/>
  <c r="X25" i="111"/>
  <c r="Z25" i="111" s="1"/>
  <c r="W25" i="111"/>
  <c r="AB25" i="111" s="1"/>
  <c r="R72" i="120"/>
  <c r="AY37" i="111"/>
  <c r="BX37" i="111"/>
  <c r="BE37" i="111"/>
  <c r="BS37" i="111"/>
  <c r="AX37" i="111"/>
  <c r="BQ37" i="111"/>
  <c r="BI37" i="111"/>
  <c r="CC37" i="111"/>
  <c r="BK37" i="111"/>
  <c r="AW37" i="111"/>
  <c r="Y37" i="111" s="1"/>
  <c r="BT37" i="111"/>
  <c r="BO37" i="111"/>
  <c r="AI37" i="111"/>
  <c r="U37" i="111" s="1"/>
  <c r="BF37" i="111"/>
  <c r="AJ37" i="111"/>
  <c r="BD37" i="111"/>
  <c r="CB37" i="111"/>
  <c r="BA37" i="111"/>
  <c r="BV37" i="111"/>
  <c r="BJ37" i="111"/>
  <c r="BN37" i="111"/>
  <c r="BH37" i="111"/>
  <c r="A37" i="111"/>
  <c r="BL37" i="111"/>
  <c r="BG37" i="111"/>
  <c r="CA37" i="111"/>
  <c r="BW37" i="111"/>
  <c r="BU37" i="111"/>
  <c r="BY37" i="111"/>
  <c r="BZ37" i="111"/>
  <c r="BM37" i="111"/>
  <c r="BP37" i="111"/>
  <c r="BC37" i="111"/>
  <c r="AZ37" i="111"/>
  <c r="BB37" i="111"/>
  <c r="R71" i="120"/>
  <c r="K29" i="120"/>
  <c r="W29" i="120" s="1"/>
  <c r="D29" i="111" s="1"/>
  <c r="R29" i="111" s="1"/>
  <c r="AC26" i="111"/>
  <c r="D34" i="120"/>
  <c r="B32" i="120"/>
  <c r="N71" i="120"/>
  <c r="G33" i="120" l="1"/>
  <c r="B33" i="120"/>
  <c r="N72" i="120"/>
  <c r="I33" i="120"/>
  <c r="AC27" i="111"/>
  <c r="AZ38" i="111"/>
  <c r="BO38" i="111"/>
  <c r="BS38" i="111"/>
  <c r="BE38" i="111"/>
  <c r="BY38" i="111"/>
  <c r="BH38" i="111"/>
  <c r="BI38" i="111"/>
  <c r="CC38" i="111"/>
  <c r="BD38" i="111"/>
  <c r="BK38" i="111"/>
  <c r="BW38" i="111"/>
  <c r="BL38" i="111"/>
  <c r="BM38" i="111"/>
  <c r="AY38" i="111"/>
  <c r="BZ38" i="111"/>
  <c r="AI38" i="111"/>
  <c r="U38" i="111" s="1"/>
  <c r="AJ38" i="111"/>
  <c r="CA38" i="111"/>
  <c r="BT38" i="111"/>
  <c r="BQ38" i="111"/>
  <c r="BJ38" i="111"/>
  <c r="BB38" i="111"/>
  <c r="BC38" i="111"/>
  <c r="BF38" i="111"/>
  <c r="A38" i="111"/>
  <c r="BV38" i="111"/>
  <c r="BX38" i="111"/>
  <c r="BP38" i="111"/>
  <c r="AW38" i="111"/>
  <c r="Y38" i="111" s="1"/>
  <c r="AX38" i="111"/>
  <c r="BG38" i="111"/>
  <c r="CB38" i="111"/>
  <c r="BN38" i="111"/>
  <c r="BU38" i="111"/>
  <c r="BA38" i="111"/>
  <c r="B39" i="111"/>
  <c r="CD34" i="111"/>
  <c r="AG34" i="111" s="1"/>
  <c r="AD28" i="111"/>
  <c r="AF28" i="111" s="1"/>
  <c r="AH28" i="111" s="1"/>
  <c r="AK28" i="111"/>
  <c r="AP28" i="111"/>
  <c r="AR28" i="111"/>
  <c r="AQ28" i="111"/>
  <c r="AM28" i="111"/>
  <c r="AT28" i="111"/>
  <c r="AL28" i="111"/>
  <c r="AN28" i="111"/>
  <c r="AO28" i="111"/>
  <c r="AS28" i="111"/>
  <c r="V26" i="111"/>
  <c r="D35" i="120"/>
  <c r="S29" i="111"/>
  <c r="AA29" i="111"/>
  <c r="M32" i="120"/>
  <c r="K30" i="120"/>
  <c r="W30" i="120" s="1"/>
  <c r="D30" i="111" s="1"/>
  <c r="R30" i="111" s="1"/>
  <c r="G34" i="120" l="1"/>
  <c r="V28" i="111"/>
  <c r="B34" i="120"/>
  <c r="CD71" i="111"/>
  <c r="AG71" i="111" s="1"/>
  <c r="CD72" i="111"/>
  <c r="AG72" i="111" s="1"/>
  <c r="B40" i="111"/>
  <c r="M33" i="120"/>
  <c r="D36" i="120"/>
  <c r="S30" i="111"/>
  <c r="AA30" i="111"/>
  <c r="V27" i="111"/>
  <c r="AW39" i="111"/>
  <c r="Y39" i="111" s="1"/>
  <c r="BV39" i="111"/>
  <c r="BK39" i="111"/>
  <c r="BY39" i="111"/>
  <c r="AJ39" i="111"/>
  <c r="CB39" i="111"/>
  <c r="AY39" i="111"/>
  <c r="CC39" i="111"/>
  <c r="BP39" i="111"/>
  <c r="CA39" i="111"/>
  <c r="BL39" i="111"/>
  <c r="BA39" i="111"/>
  <c r="BC39" i="111"/>
  <c r="BW39" i="111"/>
  <c r="BJ39" i="111"/>
  <c r="BF39" i="111"/>
  <c r="BU39" i="111"/>
  <c r="BZ39" i="111"/>
  <c r="BN39" i="111"/>
  <c r="BM39" i="111"/>
  <c r="AZ39" i="111"/>
  <c r="BS39" i="111"/>
  <c r="BG39" i="111"/>
  <c r="A39" i="111"/>
  <c r="BT39" i="111"/>
  <c r="BH39" i="111"/>
  <c r="BI39" i="111"/>
  <c r="BX39" i="111"/>
  <c r="AI39" i="111"/>
  <c r="U39" i="111" s="1"/>
  <c r="AX39" i="111"/>
  <c r="BQ39" i="111"/>
  <c r="BD39" i="111"/>
  <c r="BO39" i="111"/>
  <c r="BE39" i="111"/>
  <c r="BB39" i="111"/>
  <c r="K31" i="120"/>
  <c r="W31" i="120" s="1"/>
  <c r="D31" i="111" s="1"/>
  <c r="R31" i="111" s="1"/>
  <c r="M34" i="120"/>
  <c r="AD29" i="111"/>
  <c r="AF29" i="111" s="1"/>
  <c r="AH29" i="111" s="1"/>
  <c r="AM29" i="111"/>
  <c r="AT29" i="111"/>
  <c r="AL29" i="111"/>
  <c r="AQ29" i="111"/>
  <c r="AR29" i="111"/>
  <c r="AP29" i="111"/>
  <c r="AS29" i="111"/>
  <c r="AO29" i="111"/>
  <c r="AN29" i="111"/>
  <c r="AK29" i="111"/>
  <c r="X26" i="111"/>
  <c r="Z26" i="111" s="1"/>
  <c r="W26" i="111"/>
  <c r="AB26" i="111" s="1"/>
  <c r="CD35" i="111"/>
  <c r="AG35" i="111" s="1"/>
  <c r="I34" i="120"/>
  <c r="T71" i="120"/>
  <c r="AC28" i="111"/>
  <c r="T72" i="120" l="1"/>
  <c r="B35" i="120"/>
  <c r="K32" i="120"/>
  <c r="W32" i="120" s="1"/>
  <c r="D32" i="111" s="1"/>
  <c r="R32" i="111" s="1"/>
  <c r="X27" i="111"/>
  <c r="Z27" i="111" s="1"/>
  <c r="W27" i="111"/>
  <c r="AB27" i="111" s="1"/>
  <c r="I35" i="120"/>
  <c r="S71" i="120"/>
  <c r="W71" i="120" s="1"/>
  <c r="D71" i="111" s="1"/>
  <c r="R71" i="111" s="1"/>
  <c r="B41" i="111"/>
  <c r="G35" i="120"/>
  <c r="AC29" i="111"/>
  <c r="S31" i="111"/>
  <c r="AA31" i="111"/>
  <c r="S72" i="120"/>
  <c r="AX40" i="111"/>
  <c r="BM40" i="111"/>
  <c r="BU40" i="111"/>
  <c r="BD40" i="111"/>
  <c r="BC40" i="111"/>
  <c r="CB40" i="111"/>
  <c r="BL40" i="111"/>
  <c r="BG40" i="111"/>
  <c r="AW40" i="111"/>
  <c r="Y40" i="111" s="1"/>
  <c r="BE40" i="111"/>
  <c r="BQ40" i="111"/>
  <c r="BN40" i="111"/>
  <c r="BH40" i="111"/>
  <c r="AY40" i="111"/>
  <c r="BV40" i="111"/>
  <c r="BI40" i="111"/>
  <c r="BY40" i="111"/>
  <c r="BT40" i="111"/>
  <c r="BW40" i="111"/>
  <c r="BS40" i="111"/>
  <c r="CA40" i="111"/>
  <c r="BJ40" i="111"/>
  <c r="AJ40" i="111"/>
  <c r="AI40" i="111"/>
  <c r="U40" i="111" s="1"/>
  <c r="A40" i="111"/>
  <c r="CC40" i="111"/>
  <c r="AZ40" i="111"/>
  <c r="BF40" i="111"/>
  <c r="BB40" i="111"/>
  <c r="BK40" i="111"/>
  <c r="BO40" i="111"/>
  <c r="BP40" i="111"/>
  <c r="BA40" i="111"/>
  <c r="BZ40" i="111"/>
  <c r="BX40" i="111"/>
  <c r="D37" i="120"/>
  <c r="AD30" i="111"/>
  <c r="AF30" i="111" s="1"/>
  <c r="AH30" i="111" s="1"/>
  <c r="AO30" i="111"/>
  <c r="AQ30" i="111"/>
  <c r="AP30" i="111"/>
  <c r="AT30" i="111"/>
  <c r="AM30" i="111"/>
  <c r="AR30" i="111"/>
  <c r="AK30" i="111"/>
  <c r="AL30" i="111"/>
  <c r="AS30" i="111"/>
  <c r="AN30" i="111"/>
  <c r="CD36" i="111"/>
  <c r="AG36" i="111" s="1"/>
  <c r="X28" i="111"/>
  <c r="Z28" i="111" s="1"/>
  <c r="W28" i="111"/>
  <c r="AB28" i="111" s="1"/>
  <c r="W72" i="120" l="1"/>
  <c r="D72" i="111" s="1"/>
  <c r="R72" i="111" s="1"/>
  <c r="S72" i="111" s="1"/>
  <c r="G36" i="120"/>
  <c r="V29" i="111"/>
  <c r="V30" i="111"/>
  <c r="B42" i="111"/>
  <c r="B36" i="120"/>
  <c r="CD37" i="111"/>
  <c r="AG37" i="111" s="1"/>
  <c r="M35" i="120"/>
  <c r="AA72" i="111"/>
  <c r="D38" i="120"/>
  <c r="AD31" i="111"/>
  <c r="AF31" i="111" s="1"/>
  <c r="AH31" i="111" s="1"/>
  <c r="AS31" i="111"/>
  <c r="AL31" i="111"/>
  <c r="AT31" i="111"/>
  <c r="AR31" i="111"/>
  <c r="AQ31" i="111"/>
  <c r="AO31" i="111"/>
  <c r="AK31" i="111"/>
  <c r="AP31" i="111"/>
  <c r="AN31" i="111"/>
  <c r="AM31" i="111"/>
  <c r="K33" i="120"/>
  <c r="W33" i="120" s="1"/>
  <c r="D33" i="111" s="1"/>
  <c r="R33" i="111" s="1"/>
  <c r="M36" i="120"/>
  <c r="S71" i="111"/>
  <c r="AA71" i="111"/>
  <c r="S32" i="111"/>
  <c r="AA32" i="111"/>
  <c r="AC30" i="111"/>
  <c r="BH41" i="111"/>
  <c r="CB41" i="111"/>
  <c r="BN41" i="111"/>
  <c r="BI41" i="111"/>
  <c r="CC41" i="111"/>
  <c r="BO41" i="111"/>
  <c r="BY41" i="111"/>
  <c r="BM41" i="111"/>
  <c r="AI41" i="111"/>
  <c r="U41" i="111" s="1"/>
  <c r="BT41" i="111"/>
  <c r="BD41" i="111"/>
  <c r="AJ41" i="111"/>
  <c r="AZ41" i="111"/>
  <c r="BS41" i="111"/>
  <c r="BV41" i="111"/>
  <c r="BX41" i="111"/>
  <c r="BU41" i="111"/>
  <c r="BJ41" i="111"/>
  <c r="BE41" i="111"/>
  <c r="BF41" i="111"/>
  <c r="AX41" i="111"/>
  <c r="AW41" i="111"/>
  <c r="Y41" i="111" s="1"/>
  <c r="BK41" i="111"/>
  <c r="A41" i="111"/>
  <c r="BQ41" i="111"/>
  <c r="AY41" i="111"/>
  <c r="BZ41" i="111"/>
  <c r="BA41" i="111"/>
  <c r="CA41" i="111"/>
  <c r="BP41" i="111"/>
  <c r="BC41" i="111"/>
  <c r="BL41" i="111"/>
  <c r="BB41" i="111"/>
  <c r="BW41" i="111"/>
  <c r="BG41" i="111"/>
  <c r="I36" i="120"/>
  <c r="G38" i="120" l="1"/>
  <c r="CD38" i="111"/>
  <c r="AG38" i="111" s="1"/>
  <c r="AD72" i="111"/>
  <c r="AF72" i="111" s="1"/>
  <c r="AH72" i="111" s="1"/>
  <c r="AN72" i="111"/>
  <c r="AM72" i="111"/>
  <c r="AS72" i="111"/>
  <c r="AL72" i="111"/>
  <c r="AQ72" i="111"/>
  <c r="AP72" i="111"/>
  <c r="AO72" i="111"/>
  <c r="AR72" i="111"/>
  <c r="AT72" i="111"/>
  <c r="AK72" i="111"/>
  <c r="I37" i="120"/>
  <c r="AC31" i="111"/>
  <c r="I38" i="120"/>
  <c r="G37" i="120"/>
  <c r="AI42" i="111"/>
  <c r="U42" i="111" s="1"/>
  <c r="BK42" i="111"/>
  <c r="BN42" i="111"/>
  <c r="BB42" i="111"/>
  <c r="BZ42" i="111"/>
  <c r="BX42" i="111"/>
  <c r="BA42" i="111"/>
  <c r="CB42" i="111"/>
  <c r="BO42" i="111"/>
  <c r="BW42" i="111"/>
  <c r="BU42" i="111"/>
  <c r="CC42" i="111"/>
  <c r="BT42" i="111"/>
  <c r="AX42" i="111"/>
  <c r="AZ42" i="111"/>
  <c r="AJ42" i="111"/>
  <c r="CA42" i="111"/>
  <c r="BI42" i="111"/>
  <c r="A42" i="111"/>
  <c r="BY42" i="111"/>
  <c r="BH42" i="111"/>
  <c r="AW42" i="111"/>
  <c r="Y42" i="111" s="1"/>
  <c r="BS42" i="111"/>
  <c r="BJ42" i="111"/>
  <c r="BV42" i="111"/>
  <c r="BC42" i="111"/>
  <c r="BD42" i="111"/>
  <c r="BE42" i="111"/>
  <c r="BQ42" i="111"/>
  <c r="BG42" i="111"/>
  <c r="BP42" i="111"/>
  <c r="BL42" i="111"/>
  <c r="BF42" i="111"/>
  <c r="AY42" i="111"/>
  <c r="BM42" i="111"/>
  <c r="AD32" i="111"/>
  <c r="AF32" i="111" s="1"/>
  <c r="AH32" i="111" s="1"/>
  <c r="AN32" i="111"/>
  <c r="AL32" i="111"/>
  <c r="AT32" i="111"/>
  <c r="AQ32" i="111"/>
  <c r="AK32" i="111"/>
  <c r="AR32" i="111"/>
  <c r="AO32" i="111"/>
  <c r="AM32" i="111"/>
  <c r="AP32" i="111"/>
  <c r="AS32" i="111"/>
  <c r="K34" i="120"/>
  <c r="W34" i="120" s="1"/>
  <c r="D34" i="111" s="1"/>
  <c r="R34" i="111" s="1"/>
  <c r="D39" i="120"/>
  <c r="X30" i="111"/>
  <c r="Z30" i="111" s="1"/>
  <c r="W30" i="111"/>
  <c r="AB30" i="111" s="1"/>
  <c r="X29" i="111"/>
  <c r="Z29" i="111" s="1"/>
  <c r="W29" i="111"/>
  <c r="AB29" i="111" s="1"/>
  <c r="B37" i="120"/>
  <c r="V31" i="111"/>
  <c r="AP71" i="111"/>
  <c r="AM71" i="111"/>
  <c r="AL71" i="111"/>
  <c r="AK71" i="111"/>
  <c r="AN71" i="111"/>
  <c r="AO71" i="111"/>
  <c r="AS71" i="111"/>
  <c r="AR71" i="111"/>
  <c r="AT71" i="111"/>
  <c r="AD71" i="111"/>
  <c r="AF71" i="111" s="1"/>
  <c r="AH71" i="111" s="1"/>
  <c r="AQ71" i="111"/>
  <c r="S33" i="111"/>
  <c r="AA33" i="111"/>
  <c r="B43" i="111"/>
  <c r="G39" i="120" l="1"/>
  <c r="V72" i="111"/>
  <c r="B38" i="120"/>
  <c r="AC71" i="111"/>
  <c r="S34" i="111"/>
  <c r="AA34" i="111"/>
  <c r="AC32" i="111"/>
  <c r="M38" i="120"/>
  <c r="D40" i="120"/>
  <c r="V71" i="111"/>
  <c r="CD39" i="111"/>
  <c r="AG39" i="111" s="1"/>
  <c r="B44" i="111"/>
  <c r="X31" i="111"/>
  <c r="Z31" i="111" s="1"/>
  <c r="W31" i="111"/>
  <c r="AB31" i="111" s="1"/>
  <c r="BZ43" i="111"/>
  <c r="BF43" i="111"/>
  <c r="AZ43" i="111"/>
  <c r="BJ43" i="111"/>
  <c r="A43" i="111"/>
  <c r="BN43" i="111"/>
  <c r="BH43" i="111"/>
  <c r="BW43" i="111"/>
  <c r="BD43" i="111"/>
  <c r="AI43" i="111"/>
  <c r="U43" i="111" s="1"/>
  <c r="BP43" i="111"/>
  <c r="BI43" i="111"/>
  <c r="BS43" i="111"/>
  <c r="BE43" i="111"/>
  <c r="BT43" i="111"/>
  <c r="BQ43" i="111"/>
  <c r="AX43" i="111"/>
  <c r="BL43" i="111"/>
  <c r="BB43" i="111"/>
  <c r="BU43" i="111"/>
  <c r="BO43" i="111"/>
  <c r="BX43" i="111"/>
  <c r="BK43" i="111"/>
  <c r="BY43" i="111"/>
  <c r="BM43" i="111"/>
  <c r="AJ43" i="111"/>
  <c r="AW43" i="111"/>
  <c r="Y43" i="111" s="1"/>
  <c r="BV43" i="111"/>
  <c r="BG43" i="111"/>
  <c r="CA43" i="111"/>
  <c r="AY43" i="111"/>
  <c r="CC43" i="111"/>
  <c r="BA43" i="111"/>
  <c r="BC43" i="111"/>
  <c r="CB43" i="111"/>
  <c r="AD33" i="111"/>
  <c r="AF33" i="111" s="1"/>
  <c r="AH33" i="111" s="1"/>
  <c r="AN33" i="111"/>
  <c r="AR33" i="111"/>
  <c r="AT33" i="111"/>
  <c r="AS33" i="111"/>
  <c r="AM33" i="111"/>
  <c r="AO33" i="111"/>
  <c r="AQ33" i="111"/>
  <c r="AL33" i="111"/>
  <c r="AK33" i="111"/>
  <c r="AP33" i="111"/>
  <c r="K35" i="120"/>
  <c r="W35" i="120" s="1"/>
  <c r="D35" i="111" s="1"/>
  <c r="R35" i="111" s="1"/>
  <c r="M37" i="120"/>
  <c r="AC72" i="111"/>
  <c r="I39" i="120" l="1"/>
  <c r="B39" i="120"/>
  <c r="CD40" i="111"/>
  <c r="AG40" i="111" s="1"/>
  <c r="S35" i="111"/>
  <c r="AA35" i="111"/>
  <c r="K36" i="120"/>
  <c r="W36" i="120" s="1"/>
  <c r="D36" i="111" s="1"/>
  <c r="R36" i="111" s="1"/>
  <c r="V32" i="111"/>
  <c r="AC33" i="111"/>
  <c r="BE44" i="111"/>
  <c r="BJ44" i="111"/>
  <c r="CC44" i="111"/>
  <c r="BP44" i="111"/>
  <c r="BO44" i="111"/>
  <c r="BX44" i="111"/>
  <c r="BT44" i="111"/>
  <c r="AJ44" i="111"/>
  <c r="A44" i="111"/>
  <c r="BI44" i="111"/>
  <c r="BQ44" i="111"/>
  <c r="AI44" i="111"/>
  <c r="U44" i="111" s="1"/>
  <c r="BV44" i="111"/>
  <c r="AY44" i="111"/>
  <c r="BK44" i="111"/>
  <c r="BZ44" i="111"/>
  <c r="CB44" i="111"/>
  <c r="AX44" i="111"/>
  <c r="BM44" i="111"/>
  <c r="BU44" i="111"/>
  <c r="BG44" i="111"/>
  <c r="CA44" i="111"/>
  <c r="BL44" i="111"/>
  <c r="BD44" i="111"/>
  <c r="BC44" i="111"/>
  <c r="AW44" i="111"/>
  <c r="Y44" i="111" s="1"/>
  <c r="BB44" i="111"/>
  <c r="BA44" i="111"/>
  <c r="BY44" i="111"/>
  <c r="BF44" i="111"/>
  <c r="AZ44" i="111"/>
  <c r="BS44" i="111"/>
  <c r="BN44" i="111"/>
  <c r="BW44" i="111"/>
  <c r="BH44" i="111"/>
  <c r="D41" i="120"/>
  <c r="AD34" i="111"/>
  <c r="AF34" i="111" s="1"/>
  <c r="AH34" i="111" s="1"/>
  <c r="AT34" i="111"/>
  <c r="AN34" i="111"/>
  <c r="AQ34" i="111"/>
  <c r="AS34" i="111"/>
  <c r="AM34" i="111"/>
  <c r="AP34" i="111"/>
  <c r="AO34" i="111"/>
  <c r="AR34" i="111"/>
  <c r="AL34" i="111"/>
  <c r="AK34" i="111"/>
  <c r="X72" i="111"/>
  <c r="Z72" i="111" s="1"/>
  <c r="W72" i="111"/>
  <c r="AB72" i="111" s="1"/>
  <c r="B45" i="111"/>
  <c r="X71" i="111"/>
  <c r="Z71" i="111" s="1"/>
  <c r="W71" i="111"/>
  <c r="AB71" i="111" s="1"/>
  <c r="M39" i="120" l="1"/>
  <c r="V33" i="111"/>
  <c r="CD41" i="111"/>
  <c r="AG41" i="111" s="1"/>
  <c r="X32" i="111"/>
  <c r="Z32" i="111" s="1"/>
  <c r="W32" i="111"/>
  <c r="AB32" i="111" s="1"/>
  <c r="AD35" i="111"/>
  <c r="AF35" i="111" s="1"/>
  <c r="AH35" i="111" s="1"/>
  <c r="AN35" i="111"/>
  <c r="AL35" i="111"/>
  <c r="AQ35" i="111"/>
  <c r="AK35" i="111"/>
  <c r="AT35" i="111"/>
  <c r="AO35" i="111"/>
  <c r="AR35" i="111"/>
  <c r="AM35" i="111"/>
  <c r="AS35" i="111"/>
  <c r="AP35" i="111"/>
  <c r="BT45" i="111"/>
  <c r="BF45" i="111"/>
  <c r="A45" i="111"/>
  <c r="BA45" i="111"/>
  <c r="BB45" i="111"/>
  <c r="BU45" i="111"/>
  <c r="BI45" i="111"/>
  <c r="AY45" i="111"/>
  <c r="BX45" i="111"/>
  <c r="AX45" i="111"/>
  <c r="BQ45" i="111"/>
  <c r="AZ45" i="111"/>
  <c r="BL45" i="111"/>
  <c r="BK45" i="111"/>
  <c r="BZ45" i="111"/>
  <c r="BW45" i="111"/>
  <c r="BH45" i="111"/>
  <c r="CB45" i="111"/>
  <c r="BG45" i="111"/>
  <c r="BV45" i="111"/>
  <c r="BE45" i="111"/>
  <c r="BS45" i="111"/>
  <c r="BD45" i="111"/>
  <c r="BC45" i="111"/>
  <c r="AJ45" i="111"/>
  <c r="AW45" i="111"/>
  <c r="Y45" i="111" s="1"/>
  <c r="BP45" i="111"/>
  <c r="AI45" i="111"/>
  <c r="U45" i="111" s="1"/>
  <c r="BM45" i="111"/>
  <c r="CA45" i="111"/>
  <c r="BO45" i="111"/>
  <c r="BY45" i="111"/>
  <c r="BN45" i="111"/>
  <c r="BJ45" i="111"/>
  <c r="CC45" i="111"/>
  <c r="B46" i="111"/>
  <c r="K37" i="120"/>
  <c r="W37" i="120" s="1"/>
  <c r="D37" i="111" s="1"/>
  <c r="R37" i="111" s="1"/>
  <c r="B40" i="120"/>
  <c r="G40" i="120"/>
  <c r="I40" i="120"/>
  <c r="AC34" i="111"/>
  <c r="S36" i="111"/>
  <c r="AA36" i="111"/>
  <c r="D42" i="120"/>
  <c r="V35" i="111" l="1"/>
  <c r="V34" i="111"/>
  <c r="K38" i="120"/>
  <c r="W38" i="120" s="1"/>
  <c r="D38" i="111" s="1"/>
  <c r="R38" i="111" s="1"/>
  <c r="AW46" i="111"/>
  <c r="Y46" i="111" s="1"/>
  <c r="BC46" i="111"/>
  <c r="AJ46" i="111"/>
  <c r="BW46" i="111"/>
  <c r="BM46" i="111"/>
  <c r="CB46" i="111"/>
  <c r="BL46" i="111"/>
  <c r="BD46" i="111"/>
  <c r="BX46" i="111"/>
  <c r="BI46" i="111"/>
  <c r="BG46" i="111"/>
  <c r="BF46" i="111"/>
  <c r="CA46" i="111"/>
  <c r="BH46" i="111"/>
  <c r="A46" i="111"/>
  <c r="BT46" i="111"/>
  <c r="BP46" i="111"/>
  <c r="AY46" i="111"/>
  <c r="AI46" i="111"/>
  <c r="U46" i="111" s="1"/>
  <c r="BK46" i="111"/>
  <c r="BN46" i="111"/>
  <c r="BQ46" i="111"/>
  <c r="BE46" i="111"/>
  <c r="BY46" i="111"/>
  <c r="BU46" i="111"/>
  <c r="CC46" i="111"/>
  <c r="AZ46" i="111"/>
  <c r="BO46" i="111"/>
  <c r="BS46" i="111"/>
  <c r="AX46" i="111"/>
  <c r="BV46" i="111"/>
  <c r="BA46" i="111"/>
  <c r="BB46" i="111"/>
  <c r="BZ46" i="111"/>
  <c r="BJ46" i="111"/>
  <c r="M40" i="120"/>
  <c r="I41" i="120"/>
  <c r="AD36" i="111"/>
  <c r="AF36" i="111" s="1"/>
  <c r="AH36" i="111" s="1"/>
  <c r="AQ36" i="111"/>
  <c r="AR36" i="111"/>
  <c r="AK36" i="111"/>
  <c r="AP36" i="111"/>
  <c r="AL36" i="111"/>
  <c r="AN36" i="111"/>
  <c r="AO36" i="111"/>
  <c r="AS36" i="111"/>
  <c r="AT36" i="111"/>
  <c r="AM36" i="111"/>
  <c r="D43" i="120"/>
  <c r="S37" i="111"/>
  <c r="AA37" i="111"/>
  <c r="B41" i="120"/>
  <c r="G41" i="120"/>
  <c r="X33" i="111"/>
  <c r="Z33" i="111" s="1"/>
  <c r="W33" i="111"/>
  <c r="AB33" i="111" s="1"/>
  <c r="CD42" i="111"/>
  <c r="AG42" i="111" s="1"/>
  <c r="B47" i="111"/>
  <c r="AC35" i="111"/>
  <c r="G42" i="120" l="1"/>
  <c r="B42" i="120"/>
  <c r="X34" i="111"/>
  <c r="Z34" i="111" s="1"/>
  <c r="W34" i="111"/>
  <c r="AB34" i="111" s="1"/>
  <c r="D44" i="120"/>
  <c r="CD43" i="111"/>
  <c r="AG43" i="111" s="1"/>
  <c r="I42" i="120"/>
  <c r="X35" i="111"/>
  <c r="Z35" i="111" s="1"/>
  <c r="W35" i="111"/>
  <c r="AB35" i="111" s="1"/>
  <c r="B48" i="111"/>
  <c r="K39" i="120"/>
  <c r="W39" i="120" s="1"/>
  <c r="D39" i="111" s="1"/>
  <c r="R39" i="111" s="1"/>
  <c r="M41" i="120"/>
  <c r="BD47" i="111"/>
  <c r="AI47" i="111"/>
  <c r="U47" i="111" s="1"/>
  <c r="BM47" i="111"/>
  <c r="BW47" i="111"/>
  <c r="BK47" i="111"/>
  <c r="BY47" i="111"/>
  <c r="BP47" i="111"/>
  <c r="BI47" i="111"/>
  <c r="AZ47" i="111"/>
  <c r="BL47" i="111"/>
  <c r="AJ47" i="111"/>
  <c r="CB47" i="111"/>
  <c r="BA47" i="111"/>
  <c r="BB47" i="111"/>
  <c r="BU47" i="111"/>
  <c r="BS47" i="111"/>
  <c r="AY47" i="111"/>
  <c r="AW47" i="111"/>
  <c r="Y47" i="111" s="1"/>
  <c r="BV47" i="111"/>
  <c r="AX47" i="111"/>
  <c r="BH47" i="111"/>
  <c r="A47" i="111"/>
  <c r="BN47" i="111"/>
  <c r="BG47" i="111"/>
  <c r="CA47" i="111"/>
  <c r="BX47" i="111"/>
  <c r="CC47" i="111"/>
  <c r="BZ47" i="111"/>
  <c r="BC47" i="111"/>
  <c r="BQ47" i="111"/>
  <c r="BE47" i="111"/>
  <c r="BT47" i="111"/>
  <c r="BF47" i="111"/>
  <c r="BJ47" i="111"/>
  <c r="BO47" i="111"/>
  <c r="AD37" i="111"/>
  <c r="AF37" i="111" s="1"/>
  <c r="AH37" i="111" s="1"/>
  <c r="AO37" i="111"/>
  <c r="AL37" i="111"/>
  <c r="AS37" i="111"/>
  <c r="AK37" i="111"/>
  <c r="AM37" i="111"/>
  <c r="AP37" i="111"/>
  <c r="AR37" i="111"/>
  <c r="AN37" i="111"/>
  <c r="AQ37" i="111"/>
  <c r="AT37" i="111"/>
  <c r="AC36" i="111"/>
  <c r="S38" i="111"/>
  <c r="AA38" i="111"/>
  <c r="I43" i="120" l="1"/>
  <c r="K40" i="120"/>
  <c r="W40" i="120" s="1"/>
  <c r="D40" i="111" s="1"/>
  <c r="R40" i="111" s="1"/>
  <c r="B49" i="111"/>
  <c r="AD38" i="111"/>
  <c r="AF38" i="111" s="1"/>
  <c r="AH38" i="111" s="1"/>
  <c r="AR38" i="111"/>
  <c r="AP38" i="111"/>
  <c r="AS38" i="111"/>
  <c r="AQ38" i="111"/>
  <c r="AM38" i="111"/>
  <c r="AT38" i="111"/>
  <c r="AL38" i="111"/>
  <c r="AN38" i="111"/>
  <c r="AK38" i="111"/>
  <c r="AO38" i="111"/>
  <c r="AC37" i="111"/>
  <c r="G43" i="120"/>
  <c r="V36" i="111"/>
  <c r="D45" i="120"/>
  <c r="CD44" i="111"/>
  <c r="AG44" i="111" s="1"/>
  <c r="M42" i="120"/>
  <c r="S39" i="111"/>
  <c r="AA39" i="111"/>
  <c r="AX48" i="111"/>
  <c r="BM48" i="111"/>
  <c r="BU48" i="111"/>
  <c r="BW48" i="111"/>
  <c r="BN48" i="111"/>
  <c r="BF48" i="111"/>
  <c r="BO48" i="111"/>
  <c r="BL48" i="111"/>
  <c r="AW48" i="111"/>
  <c r="Y48" i="111" s="1"/>
  <c r="BB48" i="111"/>
  <c r="BA48" i="111"/>
  <c r="BY48" i="111"/>
  <c r="BC48" i="111"/>
  <c r="CB48" i="111"/>
  <c r="BT48" i="111"/>
  <c r="BP48" i="111"/>
  <c r="BX48" i="111"/>
  <c r="BS48" i="111"/>
  <c r="BE48" i="111"/>
  <c r="BJ48" i="111"/>
  <c r="CC48" i="111"/>
  <c r="AJ48" i="111"/>
  <c r="BK48" i="111"/>
  <c r="BZ48" i="111"/>
  <c r="BV48" i="111"/>
  <c r="AZ48" i="111"/>
  <c r="A48" i="111"/>
  <c r="BI48" i="111"/>
  <c r="BQ48" i="111"/>
  <c r="AI48" i="111"/>
  <c r="U48" i="111" s="1"/>
  <c r="BH48" i="111"/>
  <c r="BD48" i="111"/>
  <c r="BG48" i="111"/>
  <c r="CA48" i="111"/>
  <c r="AY48" i="111"/>
  <c r="B43" i="120"/>
  <c r="I45" i="120" l="1"/>
  <c r="AC38" i="111"/>
  <c r="K41" i="120"/>
  <c r="W41" i="120" s="1"/>
  <c r="D41" i="111" s="1"/>
  <c r="R41" i="111" s="1"/>
  <c r="G44" i="120"/>
  <c r="B44" i="120"/>
  <c r="V37" i="111"/>
  <c r="AW49" i="111"/>
  <c r="Y49" i="111" s="1"/>
  <c r="AY49" i="111"/>
  <c r="BX49" i="111"/>
  <c r="AJ49" i="111"/>
  <c r="BB49" i="111"/>
  <c r="BU49" i="111"/>
  <c r="BM49" i="111"/>
  <c r="CA49" i="111"/>
  <c r="BS49" i="111"/>
  <c r="BA49" i="111"/>
  <c r="BH49" i="111"/>
  <c r="CB49" i="111"/>
  <c r="BJ49" i="111"/>
  <c r="BK49" i="111"/>
  <c r="BZ49" i="111"/>
  <c r="BF49" i="111"/>
  <c r="BE49" i="111"/>
  <c r="BY49" i="111"/>
  <c r="AI49" i="111"/>
  <c r="U49" i="111" s="1"/>
  <c r="BP49" i="111"/>
  <c r="BC49" i="111"/>
  <c r="BW49" i="111"/>
  <c r="BD49" i="111"/>
  <c r="AX49" i="111"/>
  <c r="BQ49" i="111"/>
  <c r="BL49" i="111"/>
  <c r="BO49" i="111"/>
  <c r="BT49" i="111"/>
  <c r="BI49" i="111"/>
  <c r="CC49" i="111"/>
  <c r="BN49" i="111"/>
  <c r="BG49" i="111"/>
  <c r="BV49" i="111"/>
  <c r="A49" i="111"/>
  <c r="AZ49" i="111"/>
  <c r="X36" i="111"/>
  <c r="Z36" i="111" s="1"/>
  <c r="W36" i="111"/>
  <c r="AB36" i="111" s="1"/>
  <c r="AD39" i="111"/>
  <c r="AF39" i="111" s="1"/>
  <c r="AH39" i="111" s="1"/>
  <c r="AR39" i="111"/>
  <c r="AM39" i="111"/>
  <c r="AK39" i="111"/>
  <c r="AN39" i="111"/>
  <c r="AO39" i="111"/>
  <c r="AT39" i="111"/>
  <c r="AS39" i="111"/>
  <c r="AQ39" i="111"/>
  <c r="AL39" i="111"/>
  <c r="AP39" i="111"/>
  <c r="I44" i="120"/>
  <c r="D46" i="120"/>
  <c r="B50" i="111"/>
  <c r="CD45" i="111"/>
  <c r="AG45" i="111" s="1"/>
  <c r="M43" i="120"/>
  <c r="S40" i="111"/>
  <c r="AA40" i="111"/>
  <c r="V39" i="111" l="1"/>
  <c r="V38" i="111"/>
  <c r="CD46" i="111"/>
  <c r="AG46" i="111" s="1"/>
  <c r="M44" i="120"/>
  <c r="S41" i="111"/>
  <c r="AA41" i="111"/>
  <c r="B45" i="120"/>
  <c r="B51" i="111"/>
  <c r="AI50" i="111"/>
  <c r="BK50" i="111"/>
  <c r="BN50" i="111"/>
  <c r="BI50" i="111"/>
  <c r="CC50" i="111"/>
  <c r="BU50" i="111"/>
  <c r="BM50" i="111"/>
  <c r="CB50" i="111"/>
  <c r="BE50" i="111"/>
  <c r="AZ50" i="111"/>
  <c r="BO50" i="111"/>
  <c r="BS50" i="111"/>
  <c r="AY50" i="111"/>
  <c r="BB50" i="111"/>
  <c r="BZ50" i="111"/>
  <c r="BH50" i="111"/>
  <c r="BY50" i="111"/>
  <c r="A50" i="111"/>
  <c r="AW50" i="111"/>
  <c r="Y50" i="111" s="1"/>
  <c r="BC50" i="111"/>
  <c r="AJ50" i="111"/>
  <c r="BW50" i="111"/>
  <c r="BJ50" i="111"/>
  <c r="BD50" i="111"/>
  <c r="U50" i="111"/>
  <c r="BQ50" i="111"/>
  <c r="BA50" i="111"/>
  <c r="BT50" i="111"/>
  <c r="BG50" i="111"/>
  <c r="BF50" i="111"/>
  <c r="CA50" i="111"/>
  <c r="BX50" i="111"/>
  <c r="BP50" i="111"/>
  <c r="AX50" i="111"/>
  <c r="BV50" i="111"/>
  <c r="BL50" i="111"/>
  <c r="AC39" i="111"/>
  <c r="G45" i="120"/>
  <c r="X37" i="111"/>
  <c r="Z37" i="111" s="1"/>
  <c r="W37" i="111"/>
  <c r="AB37" i="111" s="1"/>
  <c r="M45" i="120"/>
  <c r="AD40" i="111"/>
  <c r="AF40" i="111" s="1"/>
  <c r="AH40" i="111" s="1"/>
  <c r="AQ40" i="111"/>
  <c r="AP40" i="111"/>
  <c r="AT40" i="111"/>
  <c r="AL40" i="111"/>
  <c r="AO40" i="111"/>
  <c r="AK40" i="111"/>
  <c r="AM40" i="111"/>
  <c r="AN40" i="111"/>
  <c r="AR40" i="111"/>
  <c r="AS40" i="111"/>
  <c r="D47" i="120"/>
  <c r="K42" i="120"/>
  <c r="W42" i="120" s="1"/>
  <c r="D42" i="111" s="1"/>
  <c r="R42" i="111" s="1"/>
  <c r="B46" i="120" l="1"/>
  <c r="CD47" i="111"/>
  <c r="AG47" i="111" s="1"/>
  <c r="I46" i="120"/>
  <c r="X38" i="111"/>
  <c r="Z38" i="111" s="1"/>
  <c r="W38" i="111"/>
  <c r="AB38" i="111" s="1"/>
  <c r="G46" i="120"/>
  <c r="K43" i="120"/>
  <c r="W43" i="120" s="1"/>
  <c r="D43" i="111" s="1"/>
  <c r="R43" i="111" s="1"/>
  <c r="S42" i="111"/>
  <c r="AA42" i="111"/>
  <c r="AC40" i="111"/>
  <c r="B52" i="111"/>
  <c r="BD51" i="111"/>
  <c r="AZ51" i="111"/>
  <c r="BJ51" i="111"/>
  <c r="AI51" i="111"/>
  <c r="U51" i="111" s="1"/>
  <c r="BP51" i="111"/>
  <c r="AX51" i="111"/>
  <c r="BH51" i="111"/>
  <c r="BE51" i="111"/>
  <c r="BT51" i="111"/>
  <c r="BL51" i="111"/>
  <c r="BI51" i="111"/>
  <c r="BS51" i="111"/>
  <c r="BB51" i="111"/>
  <c r="BU51" i="111"/>
  <c r="BC51" i="111"/>
  <c r="BQ51" i="111"/>
  <c r="BN51" i="111"/>
  <c r="BY51" i="111"/>
  <c r="AW51" i="111"/>
  <c r="Y51" i="111" s="1"/>
  <c r="BV51" i="111"/>
  <c r="BO51" i="111"/>
  <c r="BX51" i="111"/>
  <c r="BG51" i="111"/>
  <c r="CA51" i="111"/>
  <c r="BM51" i="111"/>
  <c r="BW51" i="111"/>
  <c r="A51" i="111"/>
  <c r="BA51" i="111"/>
  <c r="BZ51" i="111"/>
  <c r="AY51" i="111"/>
  <c r="CC51" i="111"/>
  <c r="BF51" i="111"/>
  <c r="AJ51" i="111"/>
  <c r="CB51" i="111"/>
  <c r="BK51" i="111"/>
  <c r="D48" i="120"/>
  <c r="AD41" i="111"/>
  <c r="AF41" i="111" s="1"/>
  <c r="AH41" i="111" s="1"/>
  <c r="AK41" i="111"/>
  <c r="AN41" i="111"/>
  <c r="AS41" i="111"/>
  <c r="AT41" i="111"/>
  <c r="AO41" i="111"/>
  <c r="AP41" i="111"/>
  <c r="AM41" i="111"/>
  <c r="AQ41" i="111"/>
  <c r="AR41" i="111"/>
  <c r="AL41" i="111"/>
  <c r="X39" i="111"/>
  <c r="Z39" i="111" s="1"/>
  <c r="W39" i="111"/>
  <c r="AB39" i="111" s="1"/>
  <c r="B47" i="120" l="1"/>
  <c r="CD48" i="111"/>
  <c r="AG48" i="111" s="1"/>
  <c r="AC41" i="111"/>
  <c r="I47" i="120"/>
  <c r="K44" i="120"/>
  <c r="W44" i="120" s="1"/>
  <c r="D44" i="111" s="1"/>
  <c r="R44" i="111" s="1"/>
  <c r="V40" i="111"/>
  <c r="D49" i="120"/>
  <c r="AD42" i="111"/>
  <c r="AF42" i="111" s="1"/>
  <c r="AH42" i="111" s="1"/>
  <c r="AM42" i="111"/>
  <c r="AL42" i="111"/>
  <c r="AS42" i="111"/>
  <c r="AO42" i="111"/>
  <c r="AQ42" i="111"/>
  <c r="AR42" i="111"/>
  <c r="AP42" i="111"/>
  <c r="AK42" i="111"/>
  <c r="AN42" i="111"/>
  <c r="AT42" i="111"/>
  <c r="R73" i="120"/>
  <c r="G47" i="120"/>
  <c r="AX52" i="111"/>
  <c r="BM52" i="111"/>
  <c r="BU52" i="111"/>
  <c r="BO52" i="111"/>
  <c r="BX52" i="111"/>
  <c r="BP52" i="111"/>
  <c r="BC52" i="111"/>
  <c r="CB52" i="111"/>
  <c r="BK52" i="111"/>
  <c r="AW52" i="111"/>
  <c r="Y52" i="111" s="1"/>
  <c r="BB52" i="111"/>
  <c r="BA52" i="111"/>
  <c r="BY52" i="111"/>
  <c r="AY52" i="111"/>
  <c r="AI52" i="111"/>
  <c r="U52" i="111" s="1"/>
  <c r="BV52" i="111"/>
  <c r="AJ52" i="111"/>
  <c r="BZ52" i="111"/>
  <c r="BT52" i="111"/>
  <c r="BE52" i="111"/>
  <c r="BJ52" i="111"/>
  <c r="CC52" i="111"/>
  <c r="BL52" i="111"/>
  <c r="BG52" i="111"/>
  <c r="CA52" i="111"/>
  <c r="BH52" i="111"/>
  <c r="BD52" i="111"/>
  <c r="A52" i="111"/>
  <c r="BI52" i="111"/>
  <c r="BQ52" i="111"/>
  <c r="AZ52" i="111"/>
  <c r="BS52" i="111"/>
  <c r="BF52" i="111"/>
  <c r="BW52" i="111"/>
  <c r="BN52" i="111"/>
  <c r="M46" i="120"/>
  <c r="S43" i="111"/>
  <c r="AA43" i="111"/>
  <c r="B53" i="111"/>
  <c r="G48" i="120" l="1"/>
  <c r="V41" i="111"/>
  <c r="CD49" i="111"/>
  <c r="AG49" i="111" s="1"/>
  <c r="V42" i="111"/>
  <c r="I48" i="120"/>
  <c r="B48" i="120"/>
  <c r="B54" i="111"/>
  <c r="AD43" i="111"/>
  <c r="AF43" i="111" s="1"/>
  <c r="AH43" i="111" s="1"/>
  <c r="AO43" i="111"/>
  <c r="AL43" i="111"/>
  <c r="AN43" i="111"/>
  <c r="AP43" i="111"/>
  <c r="AK43" i="111"/>
  <c r="AS43" i="111"/>
  <c r="AT43" i="111"/>
  <c r="AM43" i="111"/>
  <c r="AR43" i="111"/>
  <c r="AQ43" i="111"/>
  <c r="AC42" i="111"/>
  <c r="S44" i="111"/>
  <c r="AA44" i="111"/>
  <c r="K45" i="120"/>
  <c r="W45" i="120" s="1"/>
  <c r="D45" i="111" s="1"/>
  <c r="R45" i="111" s="1"/>
  <c r="AW53" i="111"/>
  <c r="Y53" i="111" s="1"/>
  <c r="BP53" i="111"/>
  <c r="A53" i="111"/>
  <c r="BA53" i="111"/>
  <c r="AI53" i="111"/>
  <c r="U53" i="111" s="1"/>
  <c r="BM53" i="111"/>
  <c r="CA53" i="111"/>
  <c r="BJ53" i="111"/>
  <c r="BK53" i="111"/>
  <c r="BD53" i="111"/>
  <c r="BT53" i="111"/>
  <c r="AZ53" i="111"/>
  <c r="BL53" i="111"/>
  <c r="BF53" i="111"/>
  <c r="BC53" i="111"/>
  <c r="BW53" i="111"/>
  <c r="BU53" i="111"/>
  <c r="AY53" i="111"/>
  <c r="BX53" i="111"/>
  <c r="BE53" i="111"/>
  <c r="BS53" i="111"/>
  <c r="AX53" i="111"/>
  <c r="BQ53" i="111"/>
  <c r="BI53" i="111"/>
  <c r="CC53" i="111"/>
  <c r="BZ53" i="111"/>
  <c r="BH53" i="111"/>
  <c r="CB53" i="111"/>
  <c r="BO53" i="111"/>
  <c r="BY53" i="111"/>
  <c r="BG53" i="111"/>
  <c r="BV53" i="111"/>
  <c r="AJ53" i="111"/>
  <c r="BN53" i="111"/>
  <c r="BB53" i="111"/>
  <c r="M47" i="120"/>
  <c r="X40" i="111"/>
  <c r="Z40" i="111" s="1"/>
  <c r="W40" i="111"/>
  <c r="AB40" i="111" s="1"/>
  <c r="D50" i="120"/>
  <c r="M48" i="120" l="1"/>
  <c r="I49" i="120"/>
  <c r="V43" i="111"/>
  <c r="D51" i="120"/>
  <c r="B49" i="120"/>
  <c r="K46" i="120"/>
  <c r="W46" i="120" s="1"/>
  <c r="D46" i="111" s="1"/>
  <c r="R46" i="111" s="1"/>
  <c r="AC43" i="111"/>
  <c r="B55" i="111"/>
  <c r="CD50" i="111"/>
  <c r="AG50" i="111" s="1"/>
  <c r="AD44" i="111"/>
  <c r="AF44" i="111" s="1"/>
  <c r="AH44" i="111" s="1"/>
  <c r="AO44" i="111"/>
  <c r="AL44" i="111"/>
  <c r="AP44" i="111"/>
  <c r="AQ44" i="111"/>
  <c r="AS44" i="111"/>
  <c r="AT44" i="111"/>
  <c r="AM44" i="111"/>
  <c r="AN44" i="111"/>
  <c r="AK44" i="111"/>
  <c r="AR44" i="111"/>
  <c r="G49" i="120"/>
  <c r="BG54" i="111"/>
  <c r="BF54" i="111"/>
  <c r="CA54" i="111"/>
  <c r="BL54" i="111"/>
  <c r="AX54" i="111"/>
  <c r="BV54" i="111"/>
  <c r="BJ54" i="111"/>
  <c r="BB54" i="111"/>
  <c r="AI54" i="111"/>
  <c r="U54" i="111" s="1"/>
  <c r="BK54" i="111"/>
  <c r="BN54" i="111"/>
  <c r="A54" i="111"/>
  <c r="BT54" i="111"/>
  <c r="BM54" i="111"/>
  <c r="CB54" i="111"/>
  <c r="BX54" i="111"/>
  <c r="BD54" i="111"/>
  <c r="AZ54" i="111"/>
  <c r="BO54" i="111"/>
  <c r="BS54" i="111"/>
  <c r="BE54" i="111"/>
  <c r="BY54" i="111"/>
  <c r="BH54" i="111"/>
  <c r="BI54" i="111"/>
  <c r="CC54" i="111"/>
  <c r="BP54" i="111"/>
  <c r="AW54" i="111"/>
  <c r="Y54" i="111" s="1"/>
  <c r="BC54" i="111"/>
  <c r="AJ54" i="111"/>
  <c r="BW54" i="111"/>
  <c r="BA54" i="111"/>
  <c r="BQ54" i="111"/>
  <c r="AY54" i="111"/>
  <c r="BZ54" i="111"/>
  <c r="BU54" i="111"/>
  <c r="X42" i="111"/>
  <c r="Z42" i="111" s="1"/>
  <c r="W42" i="111"/>
  <c r="AB42" i="111" s="1"/>
  <c r="S45" i="111"/>
  <c r="AA45" i="111"/>
  <c r="T73" i="120"/>
  <c r="N73" i="120"/>
  <c r="X41" i="111"/>
  <c r="Z41" i="111" s="1"/>
  <c r="W41" i="111"/>
  <c r="AB41" i="111" s="1"/>
  <c r="G50" i="120" l="1"/>
  <c r="B50" i="120"/>
  <c r="N74" i="120"/>
  <c r="S46" i="111"/>
  <c r="AA46" i="111"/>
  <c r="S73" i="120"/>
  <c r="W73" i="120" s="1"/>
  <c r="D73" i="111" s="1"/>
  <c r="R73" i="111" s="1"/>
  <c r="AD45" i="111"/>
  <c r="AF45" i="111" s="1"/>
  <c r="AH45" i="111" s="1"/>
  <c r="AN45" i="111"/>
  <c r="AM45" i="111"/>
  <c r="AS45" i="111"/>
  <c r="AO45" i="111"/>
  <c r="AR45" i="111"/>
  <c r="AQ45" i="111"/>
  <c r="AL45" i="111"/>
  <c r="AT45" i="111"/>
  <c r="AP45" i="111"/>
  <c r="AK45" i="111"/>
  <c r="B56" i="111"/>
  <c r="M49" i="120"/>
  <c r="K47" i="120"/>
  <c r="W47" i="120" s="1"/>
  <c r="D47" i="111" s="1"/>
  <c r="R47" i="111" s="1"/>
  <c r="I50" i="120"/>
  <c r="D52" i="120"/>
  <c r="AC44" i="111"/>
  <c r="BZ55" i="111"/>
  <c r="BA55" i="111"/>
  <c r="AI55" i="111"/>
  <c r="U55" i="111" s="1"/>
  <c r="BM55" i="111"/>
  <c r="BW55" i="111"/>
  <c r="BO55" i="111"/>
  <c r="BX55" i="111"/>
  <c r="BU55" i="111"/>
  <c r="BD55" i="111"/>
  <c r="A55" i="111"/>
  <c r="BN55" i="111"/>
  <c r="AJ55" i="111"/>
  <c r="CB55" i="111"/>
  <c r="AY55" i="111"/>
  <c r="CC55" i="111"/>
  <c r="CA55" i="111"/>
  <c r="BL55" i="111"/>
  <c r="BE55" i="111"/>
  <c r="BT55" i="111"/>
  <c r="AX55" i="111"/>
  <c r="BH55" i="111"/>
  <c r="AZ55" i="111"/>
  <c r="BJ55" i="111"/>
  <c r="BG55" i="111"/>
  <c r="BB55" i="111"/>
  <c r="AW55" i="111"/>
  <c r="Y55" i="111" s="1"/>
  <c r="BV55" i="111"/>
  <c r="BK55" i="111"/>
  <c r="BY55" i="111"/>
  <c r="BC55" i="111"/>
  <c r="BQ55" i="111"/>
  <c r="BI55" i="111"/>
  <c r="BS55" i="111"/>
  <c r="BP55" i="111"/>
  <c r="BF55" i="111"/>
  <c r="CD73" i="111"/>
  <c r="AG73" i="111" s="1"/>
  <c r="X43" i="111"/>
  <c r="Z43" i="111" s="1"/>
  <c r="W43" i="111"/>
  <c r="AB43" i="111" s="1"/>
  <c r="CD51" i="111"/>
  <c r="AG51" i="111" s="1"/>
  <c r="G51" i="120" l="1"/>
  <c r="I51" i="120"/>
  <c r="AA73" i="111"/>
  <c r="S73" i="111"/>
  <c r="V45" i="111"/>
  <c r="G52" i="120"/>
  <c r="AX56" i="111"/>
  <c r="BM56" i="111"/>
  <c r="BU56" i="111"/>
  <c r="BD56" i="111"/>
  <c r="AI56" i="111"/>
  <c r="U56" i="111" s="1"/>
  <c r="BH56" i="111"/>
  <c r="BO56" i="111"/>
  <c r="BX56" i="111"/>
  <c r="BP56" i="111"/>
  <c r="AW56" i="111"/>
  <c r="Y56" i="111" s="1"/>
  <c r="BB56" i="111"/>
  <c r="BA56" i="111"/>
  <c r="BY56" i="111"/>
  <c r="BN56" i="111"/>
  <c r="BW56" i="111"/>
  <c r="AY56" i="111"/>
  <c r="CA56" i="111"/>
  <c r="BV56" i="111"/>
  <c r="BE56" i="111"/>
  <c r="BJ56" i="111"/>
  <c r="CC56" i="111"/>
  <c r="BT56" i="111"/>
  <c r="BC56" i="111"/>
  <c r="CB56" i="111"/>
  <c r="BL56" i="111"/>
  <c r="BF56" i="111"/>
  <c r="A56" i="111"/>
  <c r="BI56" i="111"/>
  <c r="BQ56" i="111"/>
  <c r="BK56" i="111"/>
  <c r="BZ56" i="111"/>
  <c r="AJ56" i="111"/>
  <c r="AZ56" i="111"/>
  <c r="BS56" i="111"/>
  <c r="BG56" i="111"/>
  <c r="B51" i="120"/>
  <c r="D53" i="120"/>
  <c r="CD52" i="111"/>
  <c r="AG52" i="111" s="1"/>
  <c r="B57" i="111"/>
  <c r="AC45" i="111"/>
  <c r="M50" i="120"/>
  <c r="V44" i="111"/>
  <c r="S47" i="111"/>
  <c r="AA47" i="111"/>
  <c r="AD46" i="111"/>
  <c r="AF46" i="111" s="1"/>
  <c r="AH46" i="111" s="1"/>
  <c r="AS46" i="111"/>
  <c r="AQ46" i="111"/>
  <c r="AR46" i="111"/>
  <c r="AP46" i="111"/>
  <c r="AO46" i="111"/>
  <c r="AT46" i="111"/>
  <c r="AM46" i="111"/>
  <c r="AK46" i="111"/>
  <c r="AN46" i="111"/>
  <c r="AL46" i="111"/>
  <c r="K48" i="120"/>
  <c r="W48" i="120" s="1"/>
  <c r="D48" i="111" s="1"/>
  <c r="R48" i="111" s="1"/>
  <c r="I52" i="120" l="1"/>
  <c r="M51" i="120"/>
  <c r="B52" i="120"/>
  <c r="V46" i="111"/>
  <c r="CD53" i="111"/>
  <c r="AG53" i="111" s="1"/>
  <c r="M52" i="120"/>
  <c r="X44" i="111"/>
  <c r="Z44" i="111" s="1"/>
  <c r="W44" i="111"/>
  <c r="AB44" i="111" s="1"/>
  <c r="S48" i="111"/>
  <c r="AA48" i="111"/>
  <c r="AC46" i="111"/>
  <c r="AD47" i="111"/>
  <c r="AF47" i="111" s="1"/>
  <c r="AH47" i="111" s="1"/>
  <c r="AP47" i="111"/>
  <c r="AL47" i="111"/>
  <c r="AM47" i="111"/>
  <c r="AQ47" i="111"/>
  <c r="AK47" i="111"/>
  <c r="AS47" i="111"/>
  <c r="AO47" i="111"/>
  <c r="AN47" i="111"/>
  <c r="AT47" i="111"/>
  <c r="AR47" i="111"/>
  <c r="BT57" i="111"/>
  <c r="BK57" i="111"/>
  <c r="BZ57" i="111"/>
  <c r="BJ57" i="111"/>
  <c r="AZ57" i="111"/>
  <c r="BL57" i="111"/>
  <c r="BQ57" i="111"/>
  <c r="BV57" i="111"/>
  <c r="AY57" i="111"/>
  <c r="BX57" i="111"/>
  <c r="BD57" i="111"/>
  <c r="BC57" i="111"/>
  <c r="BW57" i="111"/>
  <c r="BE57" i="111"/>
  <c r="BS57" i="111"/>
  <c r="AI57" i="111"/>
  <c r="U57" i="111" s="1"/>
  <c r="AX57" i="111"/>
  <c r="BH57" i="111"/>
  <c r="CB57" i="111"/>
  <c r="BN57" i="111"/>
  <c r="BI57" i="111"/>
  <c r="CC57" i="111"/>
  <c r="BO57" i="111"/>
  <c r="BY57" i="111"/>
  <c r="CA57" i="111"/>
  <c r="AW57" i="111"/>
  <c r="Y57" i="111" s="1"/>
  <c r="BP57" i="111"/>
  <c r="BB57" i="111"/>
  <c r="BU57" i="111"/>
  <c r="AJ57" i="111"/>
  <c r="A57" i="111"/>
  <c r="BA57" i="111"/>
  <c r="BG57" i="111"/>
  <c r="BM57" i="111"/>
  <c r="BF57" i="111"/>
  <c r="K49" i="120"/>
  <c r="W49" i="120" s="1"/>
  <c r="D49" i="111" s="1"/>
  <c r="R49" i="111" s="1"/>
  <c r="B58" i="111"/>
  <c r="D54" i="120"/>
  <c r="X45" i="111"/>
  <c r="Z45" i="111" s="1"/>
  <c r="W45" i="111"/>
  <c r="AB45" i="111" s="1"/>
  <c r="AL73" i="111"/>
  <c r="AN73" i="111"/>
  <c r="AQ73" i="111"/>
  <c r="AD73" i="111"/>
  <c r="AF73" i="111" s="1"/>
  <c r="AH73" i="111" s="1"/>
  <c r="AT73" i="111"/>
  <c r="AP73" i="111"/>
  <c r="AM73" i="111"/>
  <c r="AO73" i="111"/>
  <c r="AR73" i="111"/>
  <c r="AK73" i="111"/>
  <c r="AS73" i="111"/>
  <c r="B53" i="120" l="1"/>
  <c r="AD48" i="111"/>
  <c r="AF48" i="111" s="1"/>
  <c r="AH48" i="111" s="1"/>
  <c r="AN48" i="111"/>
  <c r="AP48" i="111"/>
  <c r="AO48" i="111"/>
  <c r="AS48" i="111"/>
  <c r="AQ48" i="111"/>
  <c r="AL48" i="111"/>
  <c r="AT48" i="111"/>
  <c r="AR48" i="111"/>
  <c r="AK48" i="111"/>
  <c r="AM48" i="111"/>
  <c r="V47" i="111"/>
  <c r="X46" i="111"/>
  <c r="Z46" i="111" s="1"/>
  <c r="W46" i="111"/>
  <c r="AB46" i="111" s="1"/>
  <c r="CD54" i="111"/>
  <c r="AG54" i="111" s="1"/>
  <c r="G53" i="120"/>
  <c r="AC73" i="111"/>
  <c r="AZ58" i="111"/>
  <c r="BO58" i="111"/>
  <c r="BL58" i="111"/>
  <c r="AY58" i="111"/>
  <c r="BX58" i="111"/>
  <c r="BA58" i="111"/>
  <c r="BY58" i="111"/>
  <c r="BF58" i="111"/>
  <c r="BM58" i="111"/>
  <c r="AW58" i="111"/>
  <c r="Y58" i="111" s="1"/>
  <c r="BC58" i="111"/>
  <c r="AJ58" i="111"/>
  <c r="BV58" i="111"/>
  <c r="BH58" i="111"/>
  <c r="CB58" i="111"/>
  <c r="BJ58" i="111"/>
  <c r="CC58" i="111"/>
  <c r="CA58" i="111"/>
  <c r="BS58" i="111"/>
  <c r="BG58" i="111"/>
  <c r="BB58" i="111"/>
  <c r="BZ58" i="111"/>
  <c r="BP58" i="111"/>
  <c r="A58" i="111"/>
  <c r="BQ58" i="111"/>
  <c r="AX58" i="111"/>
  <c r="BN58" i="111"/>
  <c r="AI58" i="111"/>
  <c r="BK58" i="111"/>
  <c r="BD58" i="111"/>
  <c r="BI58" i="111"/>
  <c r="BT58" i="111"/>
  <c r="BE58" i="111"/>
  <c r="BU58" i="111"/>
  <c r="BW58" i="111"/>
  <c r="U58" i="111"/>
  <c r="AC47" i="111"/>
  <c r="V73" i="111"/>
  <c r="B59" i="111"/>
  <c r="S49" i="111"/>
  <c r="AA49" i="111"/>
  <c r="D55" i="120"/>
  <c r="I53" i="120"/>
  <c r="K50" i="120"/>
  <c r="W50" i="120" s="1"/>
  <c r="D50" i="111" s="1"/>
  <c r="R50" i="111" s="1"/>
  <c r="G54" i="120" l="1"/>
  <c r="CD55" i="111"/>
  <c r="AG55" i="111" s="1"/>
  <c r="AC48" i="111"/>
  <c r="B60" i="111"/>
  <c r="K51" i="120"/>
  <c r="W51" i="120" s="1"/>
  <c r="D51" i="111" s="1"/>
  <c r="R51" i="111" s="1"/>
  <c r="B54" i="120"/>
  <c r="I54" i="120"/>
  <c r="AD49" i="111"/>
  <c r="AF49" i="111" s="1"/>
  <c r="AH49" i="111" s="1"/>
  <c r="AO49" i="111"/>
  <c r="AM49" i="111"/>
  <c r="AR49" i="111"/>
  <c r="AK49" i="111"/>
  <c r="AS49" i="111"/>
  <c r="AT49" i="111"/>
  <c r="AQ49" i="111"/>
  <c r="AN49" i="111"/>
  <c r="AP49" i="111"/>
  <c r="AL49" i="111"/>
  <c r="M53" i="120"/>
  <c r="S50" i="111"/>
  <c r="AA50" i="111"/>
  <c r="D56" i="120"/>
  <c r="A59" i="111"/>
  <c r="BI59" i="111"/>
  <c r="BQ59" i="111"/>
  <c r="AI59" i="111"/>
  <c r="U59" i="111" s="1"/>
  <c r="BK59" i="111"/>
  <c r="BN59" i="111"/>
  <c r="BT59" i="111"/>
  <c r="BD59" i="111"/>
  <c r="AX59" i="111"/>
  <c r="BM59" i="111"/>
  <c r="BU59" i="111"/>
  <c r="AZ59" i="111"/>
  <c r="BO59" i="111"/>
  <c r="BS59" i="111"/>
  <c r="AY59" i="111"/>
  <c r="BX59" i="111"/>
  <c r="BZ59" i="111"/>
  <c r="AW59" i="111"/>
  <c r="Y59" i="111" s="1"/>
  <c r="BB59" i="111"/>
  <c r="BA59" i="111"/>
  <c r="BY59" i="111"/>
  <c r="BC59" i="111"/>
  <c r="AJ59" i="111"/>
  <c r="BW59" i="111"/>
  <c r="BH59" i="111"/>
  <c r="CB59" i="111"/>
  <c r="BL59" i="111"/>
  <c r="CC59" i="111"/>
  <c r="BP59" i="111"/>
  <c r="BG59" i="111"/>
  <c r="BV59" i="111"/>
  <c r="BE59" i="111"/>
  <c r="BF59" i="111"/>
  <c r="BJ59" i="111"/>
  <c r="CA59" i="111"/>
  <c r="X73" i="111"/>
  <c r="Z73" i="111" s="1"/>
  <c r="W73" i="111"/>
  <c r="AB73" i="111" s="1"/>
  <c r="X47" i="111"/>
  <c r="Z47" i="111" s="1"/>
  <c r="W47" i="111"/>
  <c r="AB47" i="111" s="1"/>
  <c r="I55" i="120" l="1"/>
  <c r="B55" i="120"/>
  <c r="V48" i="111"/>
  <c r="M54" i="120"/>
  <c r="B61" i="111"/>
  <c r="D57" i="120"/>
  <c r="AD50" i="111"/>
  <c r="AF50" i="111" s="1"/>
  <c r="AH50" i="111" s="1"/>
  <c r="AQ50" i="111"/>
  <c r="AP50" i="111"/>
  <c r="AR50" i="111"/>
  <c r="AO50" i="111"/>
  <c r="AL50" i="111"/>
  <c r="AN50" i="111"/>
  <c r="AT50" i="111"/>
  <c r="AM50" i="111"/>
  <c r="AK50" i="111"/>
  <c r="AS50" i="111"/>
  <c r="CD56" i="111"/>
  <c r="AG56" i="111" s="1"/>
  <c r="R74" i="120"/>
  <c r="AC49" i="111"/>
  <c r="K52" i="120"/>
  <c r="W52" i="120" s="1"/>
  <c r="D52" i="111" s="1"/>
  <c r="R52" i="111" s="1"/>
  <c r="G55" i="120"/>
  <c r="S51" i="111"/>
  <c r="AA51" i="111"/>
  <c r="BT60" i="111"/>
  <c r="BL60" i="111"/>
  <c r="BK60" i="111"/>
  <c r="BN60" i="111"/>
  <c r="BI60" i="111"/>
  <c r="BM60" i="111"/>
  <c r="A60" i="111"/>
  <c r="AY60" i="111"/>
  <c r="BX60" i="111"/>
  <c r="BV60" i="111"/>
  <c r="AZ60" i="111"/>
  <c r="BO60" i="111"/>
  <c r="BS60" i="111"/>
  <c r="BJ60" i="111"/>
  <c r="BQ60" i="111"/>
  <c r="BE60" i="111"/>
  <c r="BH60" i="111"/>
  <c r="CB60" i="111"/>
  <c r="BZ60" i="111"/>
  <c r="BC60" i="111"/>
  <c r="AJ60" i="111"/>
  <c r="BW60" i="111"/>
  <c r="CC60" i="111"/>
  <c r="BB60" i="111"/>
  <c r="BA60" i="111"/>
  <c r="AI60" i="111"/>
  <c r="U60" i="111" s="1"/>
  <c r="AX60" i="111"/>
  <c r="AW60" i="111"/>
  <c r="Y60" i="111" s="1"/>
  <c r="BG60" i="111"/>
  <c r="BU60" i="111"/>
  <c r="BP60" i="111"/>
  <c r="BF60" i="111"/>
  <c r="BY60" i="111"/>
  <c r="BD60" i="111"/>
  <c r="CA60" i="111"/>
  <c r="I57" i="120" l="1"/>
  <c r="G57" i="120"/>
  <c r="AC50" i="111"/>
  <c r="V49" i="111"/>
  <c r="AD51" i="111"/>
  <c r="AF51" i="111" s="1"/>
  <c r="AH51" i="111" s="1"/>
  <c r="AO51" i="111"/>
  <c r="AR51" i="111"/>
  <c r="AM51" i="111"/>
  <c r="AQ51" i="111"/>
  <c r="AN51" i="111"/>
  <c r="AT51" i="111"/>
  <c r="AK51" i="111"/>
  <c r="AS51" i="111"/>
  <c r="AP51" i="111"/>
  <c r="AL51" i="111"/>
  <c r="G56" i="120"/>
  <c r="D58" i="120"/>
  <c r="AW61" i="111"/>
  <c r="Y61" i="111" s="1"/>
  <c r="BC61" i="111"/>
  <c r="AJ61" i="111"/>
  <c r="BW61" i="111"/>
  <c r="BB61" i="111"/>
  <c r="BA61" i="111"/>
  <c r="BY61" i="111"/>
  <c r="BV61" i="111"/>
  <c r="BT61" i="111"/>
  <c r="BG61" i="111"/>
  <c r="BF61" i="111"/>
  <c r="CA61" i="111"/>
  <c r="BE61" i="111"/>
  <c r="BJ61" i="111"/>
  <c r="CC61" i="111"/>
  <c r="BZ61" i="111"/>
  <c r="BH61" i="111"/>
  <c r="AI61" i="111"/>
  <c r="U61" i="111" s="1"/>
  <c r="BK61" i="111"/>
  <c r="BN61" i="111"/>
  <c r="A61" i="111"/>
  <c r="BI61" i="111"/>
  <c r="BQ61" i="111"/>
  <c r="BD61" i="111"/>
  <c r="AY61" i="111"/>
  <c r="CB61" i="111"/>
  <c r="AZ61" i="111"/>
  <c r="BM61" i="111"/>
  <c r="BP61" i="111"/>
  <c r="BO61" i="111"/>
  <c r="BU61" i="111"/>
  <c r="BS61" i="111"/>
  <c r="BL61" i="111"/>
  <c r="AX61" i="111"/>
  <c r="BX61" i="111"/>
  <c r="M55" i="120"/>
  <c r="B62" i="111"/>
  <c r="X48" i="111"/>
  <c r="Z48" i="111" s="1"/>
  <c r="W48" i="111"/>
  <c r="AB48" i="111" s="1"/>
  <c r="CD57" i="111"/>
  <c r="AG57" i="111" s="1"/>
  <c r="K53" i="120"/>
  <c r="W53" i="120" s="1"/>
  <c r="D53" i="111" s="1"/>
  <c r="R53" i="111" s="1"/>
  <c r="I56" i="120"/>
  <c r="B56" i="120"/>
  <c r="V50" i="111"/>
  <c r="S52" i="111"/>
  <c r="AA52" i="111"/>
  <c r="CD58" i="111" l="1"/>
  <c r="AG58" i="111" s="1"/>
  <c r="S53" i="111"/>
  <c r="AA53" i="111"/>
  <c r="K54" i="120"/>
  <c r="W54" i="120" s="1"/>
  <c r="D54" i="111" s="1"/>
  <c r="R54" i="111" s="1"/>
  <c r="X50" i="111"/>
  <c r="Z50" i="111" s="1"/>
  <c r="W50" i="111"/>
  <c r="AB50" i="111" s="1"/>
  <c r="B63" i="111"/>
  <c r="AC51" i="111"/>
  <c r="AD52" i="111"/>
  <c r="AF52" i="111" s="1"/>
  <c r="AH52" i="111" s="1"/>
  <c r="AK52" i="111"/>
  <c r="AN52" i="111"/>
  <c r="AM52" i="111"/>
  <c r="AL52" i="111"/>
  <c r="AO52" i="111"/>
  <c r="AR52" i="111"/>
  <c r="AT52" i="111"/>
  <c r="AQ52" i="111"/>
  <c r="AS52" i="111"/>
  <c r="AP52" i="111"/>
  <c r="M56" i="120"/>
  <c r="X49" i="111"/>
  <c r="Z49" i="111" s="1"/>
  <c r="W49" i="111"/>
  <c r="AB49" i="111" s="1"/>
  <c r="D59" i="120"/>
  <c r="B57" i="120"/>
  <c r="BD62" i="111"/>
  <c r="AY62" i="111"/>
  <c r="BX62" i="111"/>
  <c r="BB62" i="111"/>
  <c r="BA62" i="111"/>
  <c r="BY62" i="111"/>
  <c r="BS62" i="111"/>
  <c r="AI62" i="111"/>
  <c r="U62" i="111" s="1"/>
  <c r="CA62" i="111"/>
  <c r="BL62" i="111"/>
  <c r="BH62" i="111"/>
  <c r="CB62" i="111"/>
  <c r="BE62" i="111"/>
  <c r="BJ62" i="111"/>
  <c r="CC62" i="111"/>
  <c r="BC62" i="111"/>
  <c r="BK62" i="111"/>
  <c r="AW62" i="111"/>
  <c r="Y62" i="111" s="1"/>
  <c r="BV62" i="111"/>
  <c r="BP62" i="111"/>
  <c r="A62" i="111"/>
  <c r="BI62" i="111"/>
  <c r="BQ62" i="111"/>
  <c r="AZ62" i="111"/>
  <c r="AJ62" i="111"/>
  <c r="BG62" i="111"/>
  <c r="BN62" i="111"/>
  <c r="AX62" i="111"/>
  <c r="BW62" i="111"/>
  <c r="BM62" i="111"/>
  <c r="BF62" i="111"/>
  <c r="BZ62" i="111"/>
  <c r="BU62" i="111"/>
  <c r="BT62" i="111"/>
  <c r="BO62" i="111"/>
  <c r="M57" i="120" l="1"/>
  <c r="B58" i="120"/>
  <c r="V51" i="111"/>
  <c r="CD59" i="111"/>
  <c r="AG59" i="111" s="1"/>
  <c r="G58" i="120"/>
  <c r="AC52" i="111"/>
  <c r="B64" i="111"/>
  <c r="I58" i="120"/>
  <c r="S74" i="120"/>
  <c r="S54" i="111"/>
  <c r="AA54" i="111"/>
  <c r="CD74" i="111"/>
  <c r="AG74" i="111" s="1"/>
  <c r="D60" i="120"/>
  <c r="AX63" i="111"/>
  <c r="BM63" i="111"/>
  <c r="BU63" i="111"/>
  <c r="AZ63" i="111"/>
  <c r="BO63" i="111"/>
  <c r="BS63" i="111"/>
  <c r="AY63" i="111"/>
  <c r="BX63" i="111"/>
  <c r="BD63" i="111"/>
  <c r="AW63" i="111"/>
  <c r="Y63" i="111" s="1"/>
  <c r="BB63" i="111"/>
  <c r="BA63" i="111"/>
  <c r="BY63" i="111"/>
  <c r="BC63" i="111"/>
  <c r="AJ63" i="111"/>
  <c r="BW63" i="111"/>
  <c r="BH63" i="111"/>
  <c r="CB63" i="111"/>
  <c r="BZ63" i="111"/>
  <c r="BE63" i="111"/>
  <c r="BJ63" i="111"/>
  <c r="CC63" i="111"/>
  <c r="BG63" i="111"/>
  <c r="BF63" i="111"/>
  <c r="CA63" i="111"/>
  <c r="BP63" i="111"/>
  <c r="BL63" i="111"/>
  <c r="AI63" i="111"/>
  <c r="U63" i="111" s="1"/>
  <c r="BT63" i="111"/>
  <c r="A63" i="111"/>
  <c r="BK63" i="111"/>
  <c r="BV63" i="111"/>
  <c r="BI63" i="111"/>
  <c r="BN63" i="111"/>
  <c r="BQ63" i="111"/>
  <c r="AD53" i="111"/>
  <c r="AF53" i="111" s="1"/>
  <c r="AH53" i="111" s="1"/>
  <c r="AK53" i="111"/>
  <c r="AR53" i="111"/>
  <c r="AT53" i="111"/>
  <c r="AO53" i="111"/>
  <c r="AS53" i="111"/>
  <c r="AN53" i="111"/>
  <c r="AP53" i="111"/>
  <c r="AL53" i="111"/>
  <c r="AM53" i="111"/>
  <c r="AQ53" i="111"/>
  <c r="V52" i="111" l="1"/>
  <c r="B59" i="120"/>
  <c r="V53" i="111"/>
  <c r="B65" i="111"/>
  <c r="CD60" i="111"/>
  <c r="AG60" i="111" s="1"/>
  <c r="D61" i="120"/>
  <c r="K55" i="120"/>
  <c r="W55" i="120" s="1"/>
  <c r="D55" i="111" s="1"/>
  <c r="R55" i="111" s="1"/>
  <c r="G59" i="120"/>
  <c r="M58" i="120"/>
  <c r="K56" i="120"/>
  <c r="W56" i="120" s="1"/>
  <c r="D56" i="111" s="1"/>
  <c r="R56" i="111" s="1"/>
  <c r="I59" i="120"/>
  <c r="AD54" i="111"/>
  <c r="AF54" i="111" s="1"/>
  <c r="AH54" i="111" s="1"/>
  <c r="AM54" i="111"/>
  <c r="AT54" i="111"/>
  <c r="AP54" i="111"/>
  <c r="AN54" i="111"/>
  <c r="AR54" i="111"/>
  <c r="AO54" i="111"/>
  <c r="AS54" i="111"/>
  <c r="AQ54" i="111"/>
  <c r="AK54" i="111"/>
  <c r="AL54" i="111"/>
  <c r="X51" i="111"/>
  <c r="Z51" i="111" s="1"/>
  <c r="W51" i="111"/>
  <c r="AB51" i="111" s="1"/>
  <c r="AC53" i="111"/>
  <c r="T74" i="120"/>
  <c r="W74" i="120" s="1"/>
  <c r="D74" i="111" s="1"/>
  <c r="R74" i="111" s="1"/>
  <c r="BZ64" i="111"/>
  <c r="BN64" i="111"/>
  <c r="BC64" i="111"/>
  <c r="BQ64" i="111"/>
  <c r="BI64" i="111"/>
  <c r="BS64" i="111"/>
  <c r="BF64" i="111"/>
  <c r="AI64" i="111"/>
  <c r="U64" i="111" s="1"/>
  <c r="BD64" i="111"/>
  <c r="BE64" i="111"/>
  <c r="BT64" i="111"/>
  <c r="BM64" i="111"/>
  <c r="BW64" i="111"/>
  <c r="BO64" i="111"/>
  <c r="BX64" i="111"/>
  <c r="A64" i="111"/>
  <c r="BL64" i="111"/>
  <c r="BK64" i="111"/>
  <c r="BY64" i="111"/>
  <c r="AJ64" i="111"/>
  <c r="CB64" i="111"/>
  <c r="AY64" i="111"/>
  <c r="CC64" i="111"/>
  <c r="BG64" i="111"/>
  <c r="BU64" i="111"/>
  <c r="BA64" i="111"/>
  <c r="BJ64" i="111"/>
  <c r="AX64" i="111"/>
  <c r="BB64" i="111"/>
  <c r="AW64" i="111"/>
  <c r="Y64" i="111" s="1"/>
  <c r="BH64" i="111"/>
  <c r="BP64" i="111"/>
  <c r="BV64" i="111"/>
  <c r="AZ64" i="111"/>
  <c r="CA64" i="111"/>
  <c r="AA74" i="111" l="1"/>
  <c r="S74" i="111"/>
  <c r="B60" i="120"/>
  <c r="B66" i="111"/>
  <c r="M59" i="120"/>
  <c r="CD61" i="111"/>
  <c r="AG61" i="111" s="1"/>
  <c r="AC54" i="111"/>
  <c r="G60" i="120"/>
  <c r="S56" i="111"/>
  <c r="AA56" i="111"/>
  <c r="S55" i="111"/>
  <c r="AA55" i="111"/>
  <c r="X52" i="111"/>
  <c r="Z52" i="111" s="1"/>
  <c r="W52" i="111"/>
  <c r="AB52" i="111" s="1"/>
  <c r="K57" i="120"/>
  <c r="W57" i="120" s="1"/>
  <c r="D57" i="111" s="1"/>
  <c r="R57" i="111" s="1"/>
  <c r="BZ65" i="111"/>
  <c r="BF65" i="111"/>
  <c r="AZ65" i="111"/>
  <c r="BJ65" i="111"/>
  <c r="A65" i="111"/>
  <c r="BN65" i="111"/>
  <c r="BM65" i="111"/>
  <c r="CB65" i="111"/>
  <c r="BD65" i="111"/>
  <c r="AI65" i="111"/>
  <c r="BP65" i="111"/>
  <c r="BI65" i="111"/>
  <c r="BS65" i="111"/>
  <c r="BE65" i="111"/>
  <c r="BT65" i="111"/>
  <c r="BW65" i="111"/>
  <c r="BC65" i="111"/>
  <c r="BL65" i="111"/>
  <c r="BB65" i="111"/>
  <c r="BU65" i="111"/>
  <c r="BO65" i="111"/>
  <c r="BX65" i="111"/>
  <c r="BK65" i="111"/>
  <c r="BY65" i="111"/>
  <c r="AX65" i="111"/>
  <c r="BH65" i="111"/>
  <c r="AW65" i="111"/>
  <c r="Y65" i="111" s="1"/>
  <c r="BV65" i="111"/>
  <c r="BG65" i="111"/>
  <c r="CA65" i="111"/>
  <c r="AY65" i="111"/>
  <c r="CC65" i="111"/>
  <c r="BA65" i="111"/>
  <c r="U65" i="111"/>
  <c r="AJ65" i="111"/>
  <c r="BQ65" i="111"/>
  <c r="I60" i="120"/>
  <c r="D62" i="120"/>
  <c r="X53" i="111"/>
  <c r="Z53" i="111" s="1"/>
  <c r="W53" i="111"/>
  <c r="AB53" i="111" s="1"/>
  <c r="B61" i="120" l="1"/>
  <c r="M60" i="120"/>
  <c r="AD55" i="111"/>
  <c r="AF55" i="111" s="1"/>
  <c r="AH55" i="111" s="1"/>
  <c r="AR55" i="111"/>
  <c r="AO55" i="111"/>
  <c r="AN55" i="111"/>
  <c r="AQ55" i="111"/>
  <c r="AS55" i="111"/>
  <c r="AM55" i="111"/>
  <c r="AT55" i="111"/>
  <c r="AK55" i="111"/>
  <c r="AL55" i="111"/>
  <c r="AP55" i="111"/>
  <c r="AD56" i="111"/>
  <c r="AF56" i="111" s="1"/>
  <c r="AH56" i="111" s="1"/>
  <c r="AK56" i="111"/>
  <c r="AL56" i="111"/>
  <c r="AS56" i="111"/>
  <c r="AQ56" i="111"/>
  <c r="AM56" i="111"/>
  <c r="AO56" i="111"/>
  <c r="AR56" i="111"/>
  <c r="AN56" i="111"/>
  <c r="AT56" i="111"/>
  <c r="AP56" i="111"/>
  <c r="R76" i="120"/>
  <c r="AR74" i="111"/>
  <c r="AK74" i="111"/>
  <c r="AL74" i="111"/>
  <c r="AD74" i="111"/>
  <c r="AF74" i="111" s="1"/>
  <c r="AH74" i="111" s="1"/>
  <c r="AN74" i="111"/>
  <c r="AP74" i="111"/>
  <c r="AT74" i="111"/>
  <c r="AM74" i="111"/>
  <c r="AQ74" i="111"/>
  <c r="AO74" i="111"/>
  <c r="AS74" i="111"/>
  <c r="CD62" i="111"/>
  <c r="AG62" i="111" s="1"/>
  <c r="D63" i="120"/>
  <c r="V54" i="111"/>
  <c r="G61" i="120"/>
  <c r="I61" i="120"/>
  <c r="S57" i="111"/>
  <c r="AA57" i="111"/>
  <c r="K58" i="120"/>
  <c r="W58" i="120" s="1"/>
  <c r="D58" i="111" s="1"/>
  <c r="R58" i="111" s="1"/>
  <c r="BD66" i="111"/>
  <c r="AX66" i="111"/>
  <c r="BH66" i="111"/>
  <c r="BE66" i="111"/>
  <c r="BT66" i="111"/>
  <c r="BB66" i="111"/>
  <c r="BU66" i="111"/>
  <c r="BI66" i="111"/>
  <c r="AZ66" i="111"/>
  <c r="BL66" i="111"/>
  <c r="BC66" i="111"/>
  <c r="BQ66" i="111"/>
  <c r="BK66" i="111"/>
  <c r="BY66" i="111"/>
  <c r="BG66" i="111"/>
  <c r="CA66" i="111"/>
  <c r="BS66" i="111"/>
  <c r="AY66" i="111"/>
  <c r="AW66" i="111"/>
  <c r="Y66" i="111" s="1"/>
  <c r="BV66" i="111"/>
  <c r="BM66" i="111"/>
  <c r="BW66" i="111"/>
  <c r="BA66" i="111"/>
  <c r="AI66" i="111"/>
  <c r="U66" i="111" s="1"/>
  <c r="BF66" i="111"/>
  <c r="A66" i="111"/>
  <c r="BO66" i="111"/>
  <c r="CC66" i="111"/>
  <c r="BZ66" i="111"/>
  <c r="AJ66" i="111"/>
  <c r="CB66" i="111"/>
  <c r="BN66" i="111"/>
  <c r="BP66" i="111"/>
  <c r="BJ66" i="111"/>
  <c r="BX66" i="111"/>
  <c r="V56" i="111" l="1"/>
  <c r="B62" i="120"/>
  <c r="V55" i="111"/>
  <c r="V74" i="111"/>
  <c r="N82" i="120"/>
  <c r="M61" i="120"/>
  <c r="I62" i="120"/>
  <c r="AD57" i="111"/>
  <c r="AF57" i="111" s="1"/>
  <c r="AH57" i="111" s="1"/>
  <c r="AO57" i="111"/>
  <c r="AR57" i="111"/>
  <c r="AN57" i="111"/>
  <c r="AS57" i="111"/>
  <c r="AK57" i="111"/>
  <c r="AP57" i="111"/>
  <c r="AM57" i="111"/>
  <c r="AL57" i="111"/>
  <c r="AQ57" i="111"/>
  <c r="AT57" i="111"/>
  <c r="N75" i="120"/>
  <c r="N80" i="120"/>
  <c r="G62" i="120"/>
  <c r="D64" i="120"/>
  <c r="CD63" i="111"/>
  <c r="AG63" i="111" s="1"/>
  <c r="R75" i="120"/>
  <c r="G67" i="120"/>
  <c r="AC56" i="111"/>
  <c r="AC55" i="111"/>
  <c r="N76" i="120"/>
  <c r="B67" i="120"/>
  <c r="X54" i="111"/>
  <c r="Z54" i="111" s="1"/>
  <c r="W54" i="111"/>
  <c r="AB54" i="111" s="1"/>
  <c r="K59" i="120"/>
  <c r="W59" i="120" s="1"/>
  <c r="D59" i="111" s="1"/>
  <c r="R59" i="111" s="1"/>
  <c r="S58" i="111"/>
  <c r="AA58" i="111"/>
  <c r="CD84" i="111"/>
  <c r="AG84" i="111" s="1"/>
  <c r="CD81" i="111"/>
  <c r="AG81" i="111" s="1"/>
  <c r="CD83" i="111"/>
  <c r="AG83" i="111" s="1"/>
  <c r="CD79" i="111"/>
  <c r="AG79" i="111" s="1"/>
  <c r="CD80" i="111"/>
  <c r="AG80" i="111" s="1"/>
  <c r="CD82" i="111"/>
  <c r="AG82" i="111" s="1"/>
  <c r="AC74" i="111"/>
  <c r="I63" i="120" l="1"/>
  <c r="R83" i="120"/>
  <c r="R80" i="120"/>
  <c r="N83" i="120"/>
  <c r="V57" i="111"/>
  <c r="D65" i="120"/>
  <c r="G41" i="113"/>
  <c r="F28" i="119"/>
  <c r="AD58" i="111"/>
  <c r="AF58" i="111" s="1"/>
  <c r="AH58" i="111" s="1"/>
  <c r="AO58" i="111"/>
  <c r="AT58" i="111"/>
  <c r="AR58" i="111"/>
  <c r="AS58" i="111"/>
  <c r="AQ58" i="111"/>
  <c r="AP58" i="111"/>
  <c r="AM58" i="111"/>
  <c r="AK58" i="111"/>
  <c r="AL58" i="111"/>
  <c r="AN58" i="111"/>
  <c r="S59" i="111"/>
  <c r="AA59" i="111"/>
  <c r="AC57" i="111"/>
  <c r="K60" i="120"/>
  <c r="W60" i="120" s="1"/>
  <c r="D60" i="111" s="1"/>
  <c r="R60" i="111" s="1"/>
  <c r="CD64" i="111"/>
  <c r="AG64" i="111" s="1"/>
  <c r="G63" i="120"/>
  <c r="R81" i="120"/>
  <c r="N81" i="120"/>
  <c r="X55" i="111"/>
  <c r="Z55" i="111" s="1"/>
  <c r="W55" i="111"/>
  <c r="AB55" i="111" s="1"/>
  <c r="R82" i="120"/>
  <c r="M62" i="120"/>
  <c r="B63" i="120"/>
  <c r="X74" i="111"/>
  <c r="Z74" i="111" s="1"/>
  <c r="W74" i="111"/>
  <c r="AB74" i="111" s="1"/>
  <c r="X56" i="111"/>
  <c r="Z56" i="111" s="1"/>
  <c r="W56" i="111"/>
  <c r="AB56" i="111" s="1"/>
  <c r="M63" i="120" l="1"/>
  <c r="G65" i="120"/>
  <c r="F35" i="119"/>
  <c r="B64" i="120"/>
  <c r="V58" i="111"/>
  <c r="S60" i="111"/>
  <c r="AA60" i="111"/>
  <c r="K61" i="120"/>
  <c r="W61" i="120" s="1"/>
  <c r="D61" i="111" s="1"/>
  <c r="R61" i="111" s="1"/>
  <c r="F25" i="119"/>
  <c r="AD59" i="111"/>
  <c r="AF59" i="111" s="1"/>
  <c r="AH59" i="111" s="1"/>
  <c r="AT59" i="111"/>
  <c r="AL59" i="111"/>
  <c r="AP59" i="111"/>
  <c r="AS59" i="111"/>
  <c r="AK59" i="111"/>
  <c r="AR59" i="111"/>
  <c r="AO59" i="111"/>
  <c r="AN59" i="111"/>
  <c r="AQ59" i="111"/>
  <c r="AM59" i="111"/>
  <c r="F11" i="119"/>
  <c r="F12" i="119"/>
  <c r="F30" i="119"/>
  <c r="F20" i="119"/>
  <c r="I64" i="120"/>
  <c r="F55" i="119"/>
  <c r="J55" i="119" s="1"/>
  <c r="G64" i="120"/>
  <c r="AC58" i="111"/>
  <c r="F16" i="119"/>
  <c r="M67" i="120"/>
  <c r="CD65" i="111"/>
  <c r="AG65" i="111" s="1"/>
  <c r="CD75" i="111"/>
  <c r="AG75" i="111" s="1"/>
  <c r="D66" i="120"/>
  <c r="X57" i="111"/>
  <c r="Z57" i="111" s="1"/>
  <c r="W57" i="111"/>
  <c r="AB57" i="111" s="1"/>
  <c r="F18" i="119" l="1"/>
  <c r="G40" i="113"/>
  <c r="I67" i="120"/>
  <c r="V59" i="111"/>
  <c r="F10" i="119"/>
  <c r="G37" i="113"/>
  <c r="B65" i="120"/>
  <c r="G5" i="113"/>
  <c r="F9" i="119"/>
  <c r="F15" i="119"/>
  <c r="K62" i="120"/>
  <c r="W62" i="120" s="1"/>
  <c r="D62" i="111" s="1"/>
  <c r="R62" i="111" s="1"/>
  <c r="G7" i="113"/>
  <c r="F17" i="119"/>
  <c r="F13" i="119"/>
  <c r="G6" i="113"/>
  <c r="S76" i="120"/>
  <c r="M64" i="120"/>
  <c r="F29" i="119"/>
  <c r="F19" i="119"/>
  <c r="F24" i="119"/>
  <c r="I65" i="120"/>
  <c r="S75" i="120"/>
  <c r="G22" i="113"/>
  <c r="F53" i="119"/>
  <c r="AD60" i="111"/>
  <c r="AF60" i="111" s="1"/>
  <c r="AH60" i="111" s="1"/>
  <c r="AK60" i="111"/>
  <c r="AN60" i="111"/>
  <c r="AQ60" i="111"/>
  <c r="AL60" i="111"/>
  <c r="AO60" i="111"/>
  <c r="AR60" i="111"/>
  <c r="AS60" i="111"/>
  <c r="AT60" i="111"/>
  <c r="AM60" i="111"/>
  <c r="AP60" i="111"/>
  <c r="X58" i="111"/>
  <c r="Z58" i="111" s="1"/>
  <c r="W58" i="111"/>
  <c r="AB58" i="111" s="1"/>
  <c r="G60" i="113"/>
  <c r="AC59" i="111"/>
  <c r="F52" i="119"/>
  <c r="S61" i="111"/>
  <c r="AA61" i="111"/>
  <c r="G39" i="113" l="1"/>
  <c r="F23" i="119"/>
  <c r="F33" i="119"/>
  <c r="B66" i="120"/>
  <c r="AC60" i="111"/>
  <c r="S82" i="120"/>
  <c r="F14" i="119"/>
  <c r="G38" i="113"/>
  <c r="G64" i="113"/>
  <c r="S81" i="120"/>
  <c r="G62" i="113"/>
  <c r="G61" i="113"/>
  <c r="F51" i="119"/>
  <c r="I66" i="120"/>
  <c r="F50" i="119"/>
  <c r="G46" i="113"/>
  <c r="AD61" i="111"/>
  <c r="AF61" i="111" s="1"/>
  <c r="AH61" i="111" s="1"/>
  <c r="AR61" i="111"/>
  <c r="AL61" i="111"/>
  <c r="AT61" i="111"/>
  <c r="AQ61" i="111"/>
  <c r="AN61" i="111"/>
  <c r="AM61" i="111"/>
  <c r="AS61" i="111"/>
  <c r="AP61" i="111"/>
  <c r="AK61" i="111"/>
  <c r="AO61" i="111"/>
  <c r="F40" i="119"/>
  <c r="T75" i="120"/>
  <c r="W75" i="120" s="1"/>
  <c r="K63" i="120"/>
  <c r="W63" i="120" s="1"/>
  <c r="D63" i="111" s="1"/>
  <c r="R63" i="111" s="1"/>
  <c r="M65" i="120"/>
  <c r="X59" i="111"/>
  <c r="Z59" i="111" s="1"/>
  <c r="W59" i="111"/>
  <c r="AB59" i="111" s="1"/>
  <c r="T76" i="120"/>
  <c r="W76" i="120" s="1"/>
  <c r="K67" i="120"/>
  <c r="W67" i="120" s="1"/>
  <c r="D67" i="111" s="1"/>
  <c r="R67" i="111" s="1"/>
  <c r="G63" i="113"/>
  <c r="S62" i="111"/>
  <c r="AA62" i="111"/>
  <c r="G66" i="120"/>
  <c r="J9" i="119"/>
  <c r="J61" i="119" s="1"/>
  <c r="G42" i="113" l="1"/>
  <c r="G12" i="113"/>
  <c r="F31" i="119"/>
  <c r="G9" i="113"/>
  <c r="F22" i="119"/>
  <c r="AA67" i="111"/>
  <c r="S67" i="111"/>
  <c r="G11" i="113"/>
  <c r="F27" i="119"/>
  <c r="D75" i="111"/>
  <c r="R75" i="111" s="1"/>
  <c r="AC61" i="111"/>
  <c r="F34" i="119"/>
  <c r="F26" i="119"/>
  <c r="G10" i="113"/>
  <c r="F38" i="119"/>
  <c r="G43" i="113"/>
  <c r="K64" i="120"/>
  <c r="W64" i="120" s="1"/>
  <c r="D64" i="111" s="1"/>
  <c r="R64" i="111" s="1"/>
  <c r="S80" i="120"/>
  <c r="F56" i="119"/>
  <c r="AD62" i="111"/>
  <c r="AF62" i="111" s="1"/>
  <c r="AH62" i="111" s="1"/>
  <c r="AT62" i="111"/>
  <c r="AN62" i="111"/>
  <c r="AR62" i="111"/>
  <c r="AM62" i="111"/>
  <c r="AP62" i="111"/>
  <c r="AS62" i="111"/>
  <c r="AQ62" i="111"/>
  <c r="AL62" i="111"/>
  <c r="AO62" i="111"/>
  <c r="AK62" i="111"/>
  <c r="S63" i="111"/>
  <c r="AA63" i="111"/>
  <c r="M66" i="120"/>
  <c r="F32" i="119"/>
  <c r="G13" i="113"/>
  <c r="V60" i="111"/>
  <c r="F21" i="119"/>
  <c r="G8" i="113"/>
  <c r="S83" i="120"/>
  <c r="AC62" i="111" l="1"/>
  <c r="G47" i="113"/>
  <c r="V61" i="111"/>
  <c r="F46" i="119"/>
  <c r="G21" i="113"/>
  <c r="AA75" i="111"/>
  <c r="S75" i="111"/>
  <c r="T80" i="120"/>
  <c r="W80" i="120" s="1"/>
  <c r="D79" i="111" s="1"/>
  <c r="R79" i="111" s="1"/>
  <c r="X60" i="111"/>
  <c r="Z60" i="111" s="1"/>
  <c r="W60" i="111"/>
  <c r="AB60" i="111" s="1"/>
  <c r="AD63" i="111"/>
  <c r="AF63" i="111" s="1"/>
  <c r="AH63" i="111" s="1"/>
  <c r="AQ63" i="111"/>
  <c r="AR63" i="111"/>
  <c r="AP63" i="111"/>
  <c r="AL63" i="111"/>
  <c r="AO63" i="111"/>
  <c r="AK63" i="111"/>
  <c r="AT63" i="111"/>
  <c r="AN63" i="111"/>
  <c r="AM63" i="111"/>
  <c r="AS63" i="111"/>
  <c r="S64" i="111"/>
  <c r="AA64" i="111"/>
  <c r="G65" i="113"/>
  <c r="K65" i="120"/>
  <c r="W65" i="120" s="1"/>
  <c r="D65" i="111" s="1"/>
  <c r="R65" i="111" s="1"/>
  <c r="T83" i="120"/>
  <c r="W83" i="120" s="1"/>
  <c r="T82" i="120"/>
  <c r="W82" i="120" s="1"/>
  <c r="D81" i="111" s="1"/>
  <c r="R81" i="111" s="1"/>
  <c r="AT67" i="111"/>
  <c r="AQ67" i="111"/>
  <c r="AK67" i="111"/>
  <c r="AM67" i="111"/>
  <c r="AN67" i="111"/>
  <c r="AS67" i="111"/>
  <c r="AD67" i="111"/>
  <c r="AF67" i="111" s="1"/>
  <c r="AH67" i="111" s="1"/>
  <c r="AL67" i="111"/>
  <c r="AR67" i="111"/>
  <c r="AP67" i="111"/>
  <c r="AO67" i="111"/>
  <c r="F39" i="119"/>
  <c r="T81" i="120"/>
  <c r="W81" i="120" s="1"/>
  <c r="D80" i="111" s="1"/>
  <c r="V62" i="111" l="1"/>
  <c r="V63" i="111"/>
  <c r="G66" i="113"/>
  <c r="G69" i="113" s="1"/>
  <c r="AA81" i="111"/>
  <c r="S81" i="111"/>
  <c r="D82" i="111"/>
  <c r="R82" i="111" s="1"/>
  <c r="R80" i="111"/>
  <c r="AC67" i="111"/>
  <c r="AD64" i="111"/>
  <c r="AF64" i="111" s="1"/>
  <c r="AH64" i="111" s="1"/>
  <c r="AS64" i="111"/>
  <c r="AM64" i="111"/>
  <c r="AT64" i="111"/>
  <c r="AO64" i="111"/>
  <c r="AN64" i="111"/>
  <c r="AK64" i="111"/>
  <c r="AP64" i="111"/>
  <c r="AL64" i="111"/>
  <c r="AR64" i="111"/>
  <c r="AQ64" i="111"/>
  <c r="AC63" i="111"/>
  <c r="AS75" i="111"/>
  <c r="AR75" i="111"/>
  <c r="AT75" i="111"/>
  <c r="AO75" i="111"/>
  <c r="AD75" i="111"/>
  <c r="AF75" i="111" s="1"/>
  <c r="AH75" i="111" s="1"/>
  <c r="AK75" i="111"/>
  <c r="AN75" i="111"/>
  <c r="AQ75" i="111"/>
  <c r="AM75" i="111"/>
  <c r="AP75" i="111"/>
  <c r="AL75" i="111"/>
  <c r="V67" i="111"/>
  <c r="S79" i="111"/>
  <c r="AA79" i="111"/>
  <c r="K66" i="120"/>
  <c r="W66" i="120" s="1"/>
  <c r="D66" i="111" s="1"/>
  <c r="R66" i="111" s="1"/>
  <c r="X61" i="111"/>
  <c r="Z61" i="111" s="1"/>
  <c r="W61" i="111"/>
  <c r="AB61" i="111" s="1"/>
  <c r="V75" i="111"/>
  <c r="S65" i="111"/>
  <c r="AA65" i="111"/>
  <c r="V91" i="120" l="1"/>
  <c r="G14" i="113"/>
  <c r="F36" i="119"/>
  <c r="X67" i="111"/>
  <c r="Z67" i="111" s="1"/>
  <c r="W67" i="111"/>
  <c r="AB67" i="111" s="1"/>
  <c r="AA82" i="111"/>
  <c r="S82" i="111"/>
  <c r="V64" i="111"/>
  <c r="S80" i="111"/>
  <c r="AA80" i="111"/>
  <c r="F37" i="119"/>
  <c r="G15" i="113"/>
  <c r="S66" i="111"/>
  <c r="AA66" i="111"/>
  <c r="X75" i="111"/>
  <c r="Z75" i="111" s="1"/>
  <c r="W75" i="111"/>
  <c r="AB75" i="111" s="1"/>
  <c r="AN79" i="111"/>
  <c r="AQ79" i="111"/>
  <c r="AP79" i="111"/>
  <c r="AK79" i="111"/>
  <c r="AS79" i="111"/>
  <c r="AR79" i="111"/>
  <c r="AD79" i="111"/>
  <c r="AF79" i="111" s="1"/>
  <c r="AH79" i="111" s="1"/>
  <c r="AM79" i="111"/>
  <c r="AL79" i="111"/>
  <c r="AT79" i="111"/>
  <c r="AO79" i="111"/>
  <c r="AC64" i="111"/>
  <c r="AD81" i="111"/>
  <c r="AF81" i="111" s="1"/>
  <c r="AH81" i="111" s="1"/>
  <c r="AR81" i="111"/>
  <c r="AO81" i="111"/>
  <c r="AT81" i="111"/>
  <c r="AQ81" i="111"/>
  <c r="AP81" i="111"/>
  <c r="AL81" i="111"/>
  <c r="AK81" i="111"/>
  <c r="AS81" i="111"/>
  <c r="AN81" i="111"/>
  <c r="AM81" i="111"/>
  <c r="AD65" i="111"/>
  <c r="AF65" i="111" s="1"/>
  <c r="AH65" i="111" s="1"/>
  <c r="AQ65" i="111"/>
  <c r="AL65" i="111"/>
  <c r="AT65" i="111"/>
  <c r="AK65" i="111"/>
  <c r="AP65" i="111"/>
  <c r="AO65" i="111"/>
  <c r="AR65" i="111"/>
  <c r="AN65" i="111"/>
  <c r="AM65" i="111"/>
  <c r="AS65" i="111"/>
  <c r="C93" i="113"/>
  <c r="G48" i="113" s="1"/>
  <c r="G50" i="113" s="1"/>
  <c r="G52" i="113" s="1"/>
  <c r="G53" i="113" s="1"/>
  <c r="AC75" i="111"/>
  <c r="W91" i="120"/>
  <c r="X63" i="111"/>
  <c r="Z63" i="111" s="1"/>
  <c r="W63" i="111"/>
  <c r="AB63" i="111" s="1"/>
  <c r="X62" i="111"/>
  <c r="Z62" i="111" s="1"/>
  <c r="W62" i="111"/>
  <c r="AB62" i="111" s="1"/>
  <c r="V81" i="111" l="1"/>
  <c r="V82" i="111"/>
  <c r="V79" i="111"/>
  <c r="AQ80" i="111"/>
  <c r="AP80" i="111"/>
  <c r="AO80" i="111"/>
  <c r="AR80" i="111"/>
  <c r="AM80" i="111"/>
  <c r="AN80" i="111"/>
  <c r="AL80" i="111"/>
  <c r="AT80" i="111"/>
  <c r="AK80" i="111"/>
  <c r="AD80" i="111"/>
  <c r="AF80" i="111" s="1"/>
  <c r="AH80" i="111" s="1"/>
  <c r="AS80" i="111"/>
  <c r="X64" i="111"/>
  <c r="Z64" i="111" s="1"/>
  <c r="W64" i="111"/>
  <c r="AB64" i="111" s="1"/>
  <c r="AC81" i="111"/>
  <c r="G24" i="113"/>
  <c r="AD66" i="111"/>
  <c r="AF66" i="111" s="1"/>
  <c r="AH66" i="111" s="1"/>
  <c r="AM66" i="111"/>
  <c r="AK66" i="111"/>
  <c r="AQ66" i="111"/>
  <c r="AR66" i="111"/>
  <c r="AN66" i="111"/>
  <c r="AT66" i="111"/>
  <c r="AP66" i="111"/>
  <c r="AS66" i="111"/>
  <c r="AL66" i="111"/>
  <c r="AO66" i="111"/>
  <c r="V65" i="111"/>
  <c r="V80" i="111"/>
  <c r="G56" i="113"/>
  <c r="H50" i="113" s="1"/>
  <c r="G55" i="113"/>
  <c r="G54" i="113"/>
  <c r="AC65" i="111"/>
  <c r="AC79" i="111"/>
  <c r="AO82" i="111"/>
  <c r="AN82" i="111"/>
  <c r="AQ82" i="111"/>
  <c r="AL82" i="111"/>
  <c r="AS82" i="111"/>
  <c r="AM82" i="111"/>
  <c r="AP82" i="111"/>
  <c r="AK82" i="111"/>
  <c r="AT82" i="111"/>
  <c r="AD82" i="111"/>
  <c r="AF82" i="111" s="1"/>
  <c r="AH82" i="111" s="1"/>
  <c r="AR82" i="111"/>
  <c r="F61" i="119"/>
  <c r="X79" i="111" l="1"/>
  <c r="Z79" i="111" s="1"/>
  <c r="W79" i="111"/>
  <c r="AB79" i="111" s="1"/>
  <c r="AC82" i="111"/>
  <c r="AC66" i="111"/>
  <c r="C94" i="113"/>
  <c r="G70" i="113" s="1"/>
  <c r="G72" i="113" s="1"/>
  <c r="G74" i="113" s="1"/>
  <c r="G75" i="113" s="1"/>
  <c r="X82" i="111"/>
  <c r="Z82" i="111" s="1"/>
  <c r="W82" i="111"/>
  <c r="AB82" i="111" s="1"/>
  <c r="X65" i="111"/>
  <c r="Z65" i="111" s="1"/>
  <c r="W65" i="111"/>
  <c r="AB65" i="111" s="1"/>
  <c r="X81" i="111"/>
  <c r="Z81" i="111" s="1"/>
  <c r="W81" i="111"/>
  <c r="AB81" i="111" s="1"/>
  <c r="X80" i="111"/>
  <c r="Z80" i="111" s="1"/>
  <c r="W80" i="111"/>
  <c r="AB80" i="111" s="1"/>
  <c r="AC80" i="111"/>
  <c r="V66" i="111" l="1"/>
  <c r="G78" i="113"/>
  <c r="H51" i="113" s="1"/>
  <c r="H55" i="113" s="1"/>
  <c r="G97" i="113" s="1"/>
  <c r="G77" i="113"/>
  <c r="G76" i="113"/>
  <c r="X66" i="111" l="1"/>
  <c r="Z66" i="111" s="1"/>
  <c r="W66" i="111"/>
  <c r="AB66" i="111" s="1"/>
  <c r="C92" i="113" l="1"/>
  <c r="G25" i="113" s="1"/>
  <c r="G27" i="113" s="1"/>
  <c r="G29" i="113" s="1"/>
  <c r="G30" i="113" s="1"/>
  <c r="F62" i="119" l="1"/>
  <c r="F63" i="119" s="1"/>
  <c r="F65" i="119" s="1"/>
  <c r="D88" i="111" s="1"/>
  <c r="G31" i="113"/>
  <c r="G33" i="113"/>
  <c r="H49" i="113" s="1"/>
  <c r="G32" i="113"/>
  <c r="R88" i="111" l="1"/>
  <c r="X88" i="111"/>
  <c r="Z88" i="111" s="1"/>
  <c r="D94" i="111"/>
  <c r="AA88" i="111" l="1"/>
  <c r="S88" i="111"/>
  <c r="W88" i="111"/>
  <c r="AB88" i="111" s="1"/>
  <c r="BR73" i="111"/>
  <c r="BR10" i="111"/>
  <c r="BR67" i="111"/>
  <c r="BR80" i="111"/>
  <c r="BR84" i="111"/>
  <c r="BR16" i="111"/>
  <c r="BR20" i="111"/>
  <c r="BR24" i="111"/>
  <c r="BR28" i="111"/>
  <c r="BR32" i="111"/>
  <c r="BR36" i="111"/>
  <c r="BR40" i="111"/>
  <c r="BR44" i="111"/>
  <c r="BR48" i="111"/>
  <c r="BR52" i="111"/>
  <c r="BR56" i="111"/>
  <c r="BR60" i="111"/>
  <c r="BR64" i="111"/>
  <c r="BR81" i="111"/>
  <c r="BR79" i="111"/>
  <c r="BR8" i="111"/>
  <c r="BR82" i="111"/>
  <c r="BR13" i="111"/>
  <c r="BR17" i="111"/>
  <c r="BR21" i="111"/>
  <c r="BR25" i="111"/>
  <c r="BR29" i="111"/>
  <c r="BR33" i="111"/>
  <c r="BR37" i="111"/>
  <c r="BR41" i="111"/>
  <c r="BR45" i="111"/>
  <c r="BR49" i="111"/>
  <c r="BR53" i="111"/>
  <c r="BR57" i="111"/>
  <c r="BR61" i="111"/>
  <c r="BR65" i="111"/>
  <c r="BR11" i="111"/>
  <c r="BR9" i="111"/>
  <c r="BR74" i="111"/>
  <c r="BR83" i="111"/>
  <c r="BR14" i="111"/>
  <c r="BR18" i="111"/>
  <c r="BR22" i="111"/>
  <c r="BR26" i="111"/>
  <c r="BR30" i="111"/>
  <c r="BR34" i="111"/>
  <c r="BR38" i="111"/>
  <c r="BR42" i="111"/>
  <c r="BR46" i="111"/>
  <c r="BR50" i="111"/>
  <c r="BR54" i="111"/>
  <c r="BR58" i="111"/>
  <c r="BR62" i="111"/>
  <c r="BR66" i="111"/>
  <c r="BR75" i="111"/>
  <c r="BR71" i="111"/>
  <c r="BR88" i="111"/>
  <c r="BR72" i="111"/>
  <c r="BR12" i="111"/>
  <c r="BR15" i="111"/>
  <c r="BR19" i="111"/>
  <c r="BR23" i="111"/>
  <c r="BR27" i="111"/>
  <c r="BR31" i="111"/>
  <c r="BR35" i="111"/>
  <c r="BR39" i="111"/>
  <c r="BR43" i="111"/>
  <c r="BR47" i="111"/>
  <c r="BR51" i="111"/>
  <c r="BR55" i="111"/>
  <c r="BR59" i="111"/>
  <c r="BR63" i="111"/>
  <c r="AT88" i="111" l="1"/>
  <c r="AL88" i="111"/>
  <c r="AP88" i="111"/>
  <c r="AN88" i="111"/>
  <c r="AO88" i="111"/>
  <c r="AD88" i="111"/>
  <c r="AF88" i="111" s="1"/>
  <c r="AH88" i="111" s="1"/>
  <c r="AH92" i="111" s="1"/>
  <c r="AS88" i="111"/>
  <c r="AR88" i="111"/>
  <c r="AK88" i="111"/>
  <c r="AC88" i="111" s="1"/>
  <c r="AQ88" i="111"/>
  <c r="AM88" i="1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</author>
  </authors>
  <commentList>
    <comment ref="X7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OCULTAR</t>
        </r>
      </text>
    </comment>
    <comment ref="AE7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OCULTAR</t>
        </r>
      </text>
    </comment>
  </commentList>
</comments>
</file>

<file path=xl/sharedStrings.xml><?xml version="1.0" encoding="utf-8"?>
<sst xmlns="http://schemas.openxmlformats.org/spreadsheetml/2006/main" count="269" uniqueCount="173">
  <si>
    <t>ALÍQUOTA</t>
  </si>
  <si>
    <t>S</t>
  </si>
  <si>
    <t>INSS</t>
  </si>
  <si>
    <t>FÉRIAS + 1/3</t>
  </si>
  <si>
    <t>BASE DE CÁLCULO</t>
  </si>
  <si>
    <t>DEDUÇÃO</t>
  </si>
  <si>
    <t>DEDUÇÕES</t>
  </si>
  <si>
    <t>VALOR DEVIDO</t>
  </si>
  <si>
    <t>13º SALÁRIO</t>
  </si>
  <si>
    <t>n</t>
  </si>
  <si>
    <t>13º SALÁRIOS</t>
  </si>
  <si>
    <t>1º faixa</t>
  </si>
  <si>
    <t>2º faixa</t>
  </si>
  <si>
    <t>3º faixa</t>
  </si>
  <si>
    <t>4º faixa</t>
  </si>
  <si>
    <t>ÉPOCA PRÓPRIA</t>
  </si>
  <si>
    <t>VERBAS</t>
  </si>
  <si>
    <t>PERÍODO</t>
  </si>
  <si>
    <t>FATOR DE ATUALIZ.</t>
  </si>
  <si>
    <t>RECLAMANTE:</t>
  </si>
  <si>
    <t>ADMISSÃO:</t>
  </si>
  <si>
    <t>DEMISSÃO:</t>
  </si>
  <si>
    <t>AJUIZAMENTO:</t>
  </si>
  <si>
    <t>SALÁRIO BASE</t>
  </si>
  <si>
    <t>JUROS</t>
  </si>
  <si>
    <t>1ª Faixa</t>
  </si>
  <si>
    <t>2ª Faixa</t>
  </si>
  <si>
    <t>3ª Faixa</t>
  </si>
  <si>
    <t>4ª Faixa</t>
  </si>
  <si>
    <t>5ª Faixa</t>
  </si>
  <si>
    <t>6ª Faixa</t>
  </si>
  <si>
    <t>7ª Faixa</t>
  </si>
  <si>
    <t>8ª Faixa</t>
  </si>
  <si>
    <t>9ª Faixa</t>
  </si>
  <si>
    <t>10ª Faixa</t>
  </si>
  <si>
    <t>Limite</t>
  </si>
  <si>
    <t>%</t>
  </si>
  <si>
    <t>Deduçao</t>
  </si>
  <si>
    <t>5º faixa</t>
  </si>
  <si>
    <t>6º faixa</t>
  </si>
  <si>
    <t>7º faixa</t>
  </si>
  <si>
    <t>8º faixa</t>
  </si>
  <si>
    <t>desconto</t>
  </si>
  <si>
    <t>Teto de</t>
  </si>
  <si>
    <t xml:space="preserve">desc 25% </t>
  </si>
  <si>
    <t>Lim.</t>
  </si>
  <si>
    <t>p/ depend.</t>
  </si>
  <si>
    <t>isenção</t>
  </si>
  <si>
    <t>até o teto</t>
  </si>
  <si>
    <t>Dep</t>
  </si>
  <si>
    <t>10º faixa</t>
  </si>
  <si>
    <t>LIMITE ISENÇÃO</t>
  </si>
  <si>
    <t>IMPOSTO ATUALIZADO</t>
  </si>
  <si>
    <t>Ded. dependentes</t>
  </si>
  <si>
    <t>TOTAL RENDIMENTOS MES</t>
  </si>
  <si>
    <t>VERBAS                 RESCIS.</t>
  </si>
  <si>
    <t>QTDE</t>
  </si>
  <si>
    <t>período</t>
  </si>
  <si>
    <t>VERBAS DEFERIDAS</t>
  </si>
  <si>
    <t>13º Salários</t>
  </si>
  <si>
    <t>sim</t>
  </si>
  <si>
    <t>TOTAL DO IMPOSTO DE RENDA NA FONTE</t>
  </si>
  <si>
    <t>BASE DE                                                 CÁLCULO VERBAS DEFERIDAS</t>
  </si>
  <si>
    <t>ÍNDICES DE CORREÇÃO MONET.</t>
  </si>
  <si>
    <t>VALOR CORRIG. MONET.</t>
  </si>
  <si>
    <t>TOTAL-----&gt;</t>
  </si>
  <si>
    <t>* FÉRIAS GOZADAS ACRESCIDAS DO TERÇO CONSTITUCIONAL.</t>
  </si>
  <si>
    <t>Férias *</t>
  </si>
  <si>
    <t>MÊS DE REFERÊNCIA</t>
  </si>
  <si>
    <t>DADOS OCULTOS</t>
  </si>
  <si>
    <t>PREVIDENCIA</t>
  </si>
  <si>
    <t>REMUNERAÇÃO RECEBIDA</t>
  </si>
  <si>
    <t>INSS RECOLHIDO</t>
  </si>
  <si>
    <t>INSS 13ª RECOLHIDO</t>
  </si>
  <si>
    <t>ABATIMENTO</t>
  </si>
  <si>
    <t>LEVANTAMENTO DE DADOS</t>
  </si>
  <si>
    <t>REFL. ADIC. PERICUL.</t>
  </si>
  <si>
    <t>PARTES:</t>
  </si>
  <si>
    <t>RECLAMADA:</t>
  </si>
  <si>
    <t>DADOS:</t>
  </si>
  <si>
    <t>INFORMAÇÕES:</t>
  </si>
  <si>
    <t>INCIDE FGTS?</t>
  </si>
  <si>
    <t>VALOR DO FGTS</t>
  </si>
  <si>
    <t>SOMA</t>
  </si>
  <si>
    <t>BASE DE                           CÁLCULO</t>
  </si>
  <si>
    <t>DEDUÇÃO - INSS (VERBAS PRINCIPAIS)</t>
  </si>
  <si>
    <t>DEDUÇÃO - DEPENDENTES</t>
  </si>
  <si>
    <t>ALÍQUOTA (%)</t>
  </si>
  <si>
    <t>IMPOSTO DEVIDO</t>
  </si>
  <si>
    <t>DEDUÇÃO PERMITIDA</t>
  </si>
  <si>
    <t xml:space="preserve">TOTAL </t>
  </si>
  <si>
    <t>DADOS PARA CÁLCULO DO IMPOSTO DE RENDA</t>
  </si>
  <si>
    <t>FAIXAS DE INCIDÊNCIA DE I.R.</t>
  </si>
  <si>
    <t>ATÉ:</t>
  </si>
  <si>
    <t>QTDE DE DEPENDENTES</t>
  </si>
  <si>
    <t>DEPENDENTES</t>
  </si>
  <si>
    <t>VALOR POR DEPENDENTE</t>
  </si>
  <si>
    <t>VALOR A SER DEDUZIDO</t>
  </si>
  <si>
    <t xml:space="preserve"> S/ VERBAS PRINCIPAIS</t>
  </si>
  <si>
    <t>S/ FÉRIAS + 1/3</t>
  </si>
  <si>
    <t>DEDUÇÃO - INSS</t>
  </si>
  <si>
    <t>LIMITE</t>
  </si>
  <si>
    <t>S/ 13º SALÁRIOS</t>
  </si>
  <si>
    <t>DANOS MORAIS</t>
  </si>
  <si>
    <t>VALOR ARBITRADO</t>
  </si>
  <si>
    <t>% JUROS</t>
  </si>
  <si>
    <t>VALOR DOS JUROS</t>
  </si>
  <si>
    <t>SOMA - VERBAS DEFERIDAS</t>
  </si>
  <si>
    <t>IMPOSTO DE RENDA - MÊS A MÊS</t>
  </si>
  <si>
    <t>TOTAL RENDIMENTOS - FOLHA DE PAGAMENTO</t>
  </si>
  <si>
    <t>RENDIMENTOS + VERBAS DEFERIDAS</t>
  </si>
  <si>
    <t xml:space="preserve">DEDUÇÃO </t>
  </si>
  <si>
    <t xml:space="preserve">DEDUÇÃO                                                  </t>
  </si>
  <si>
    <t>RENDIMENTOS (+) VERBAS DEFERIAS (-) DEDUÇÕES</t>
  </si>
  <si>
    <t>VALOR I.R. VERBAS DEFERIDAS</t>
  </si>
  <si>
    <t>IMPOSTO APURADO</t>
  </si>
  <si>
    <t>VALOR I.R. FOLHA PGTO</t>
  </si>
  <si>
    <t>PARCELAS SALARIAIS</t>
  </si>
  <si>
    <t>DSR S/ COMISSÕES</t>
  </si>
  <si>
    <t>PROJ. AVISO</t>
  </si>
  <si>
    <t>HORAS EXTRAS DOM/FER +DSR</t>
  </si>
  <si>
    <t>HORAS EXTRAS +DSR</t>
  </si>
  <si>
    <t>HORAS EXTRAS NOT. +DSR</t>
  </si>
  <si>
    <t>ADIC.  NOTURNO</t>
  </si>
  <si>
    <t>DIF. DE SALÁRIO</t>
  </si>
  <si>
    <t>ADIC.      INSALUB.</t>
  </si>
  <si>
    <t>ADIC.      PERICUL.</t>
  </si>
  <si>
    <t>REFL.                   HORAS EXTRAS +DSR</t>
  </si>
  <si>
    <t>REFL. HE DOM/FER +DSR</t>
  </si>
  <si>
    <t>REFL HORAS EXTRAS NOT. +DSR</t>
  </si>
  <si>
    <t>REFL. ADIC. NOTURNO</t>
  </si>
  <si>
    <t>REFL. DIF. DE SALÁRIO</t>
  </si>
  <si>
    <t>REFL. ADIC. INSALUB.</t>
  </si>
  <si>
    <t>REFL. COMISSÕES</t>
  </si>
  <si>
    <t xml:space="preserve">VERBAS PRINCIPAIS </t>
  </si>
  <si>
    <t>FÉRIAS + 1/3 (USUFRUÍDAS)</t>
  </si>
  <si>
    <t>IMPOSTO DE RENDA - TOTAL</t>
  </si>
  <si>
    <t xml:space="preserve">SOMA </t>
  </si>
  <si>
    <t>PARÂMETROS PARA LIQUIDAÇÃO</t>
  </si>
  <si>
    <t>PERITO: RODRIGO MULLER</t>
  </si>
  <si>
    <t>CRC PR Nº 064345/O-4</t>
  </si>
  <si>
    <t>PRESCRIÇÃO:</t>
  </si>
  <si>
    <t>ATUALIZADO ATÉ:</t>
  </si>
  <si>
    <t>JUROS PARA CÁLCULO DO IMPOSTO DE RENDA                                                                MÊS A MÊS</t>
  </si>
  <si>
    <t>VERBAS COM INCIDÊNCIA DE IMPOSTO DE RENDA</t>
  </si>
  <si>
    <t>VALOR TRIBUTÁVEL</t>
  </si>
  <si>
    <t>JUROS SOBRE VERBAS TRIBUTÁVEIS</t>
  </si>
  <si>
    <t>SOMA DAS PARCELAS DEFERIDAS PARA CÁLCULO DO IMPOSTO DE RENDA - MÊS A MÊS</t>
  </si>
  <si>
    <t>CPF 053.295.109-37</t>
  </si>
  <si>
    <t>(-) CONTRIBUIÇÃO PREVIDENCIÁRIA - EMPREGADO</t>
  </si>
  <si>
    <t>ATUALIZAÇÃO:</t>
  </si>
  <si>
    <t>DSR S/ HORAS EXTRAS</t>
  </si>
  <si>
    <t>DSR S/ ADIC. NOT.</t>
  </si>
  <si>
    <t>DSR S/ HORAS EXTRAS DOM/FER</t>
  </si>
  <si>
    <t>DSR S/ HORAS EXTRAS NOT.</t>
  </si>
  <si>
    <t>GRATIFICAÇÃO</t>
  </si>
  <si>
    <t>INSALUBRIDADE</t>
  </si>
  <si>
    <t>HRS ATESTADO</t>
  </si>
  <si>
    <t>HRS ATESTADO NOT</t>
  </si>
  <si>
    <t>HORAS NORMAIS</t>
  </si>
  <si>
    <t>HORAS NORMAIS NOT</t>
  </si>
  <si>
    <t>DIF. SALÁRIO CCT</t>
  </si>
  <si>
    <t>DIF. SALÁRIO 05/2014</t>
  </si>
  <si>
    <t>DIF. SALÁRIO  06/2014</t>
  </si>
  <si>
    <t>DIF. SALÁRIO  07/2014</t>
  </si>
  <si>
    <t>DIF. SALÁRIO  08/2014</t>
  </si>
  <si>
    <t>TROCO MÊS</t>
  </si>
  <si>
    <t>DEVOLUÇÃOCOPART PL SAUDE</t>
  </si>
  <si>
    <t>HE 100%</t>
  </si>
  <si>
    <t>INDICE HE 100%</t>
  </si>
  <si>
    <t>INDICE ADC. NOT.</t>
  </si>
  <si>
    <t>FORMULA</t>
  </si>
  <si>
    <t>PRODUÇÃO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</si>
</sst>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mmm\-yy"/>
    <numFmt numFmtId="167" formatCode="0\ 000&quot;/&quot;00"/>
    <numFmt numFmtId="168" formatCode="_(* #,##0.000000000_);_(* \(#,##0.000000000\);_(* &quot;-&quot;??_);_(@_)"/>
    <numFmt numFmtId="169" formatCode="0.0000%"/>
    <numFmt numFmtId="170" formatCode="General_)"/>
    <numFmt numFmtId="171" formatCode="mmm/yyyy"/>
    <numFmt numFmtId="172" formatCode="yyyy"/>
    <numFmt numFmtId="173" formatCode="dd/mmm/yyyy"/>
    <numFmt numFmtId="174" formatCode="d/mm/yyyy"/>
    <numFmt numFmtId="175" formatCode="_-[$€-2]\ * #,##0.00_-;\-[$€-2]\ * #,##0.00_-;_-[$€-2]\ * &quot;-&quot;??_-"/>
    <numFmt numFmtId="176" formatCode="0.000000000"/>
  </numFmts>
  <fonts count="3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36"/>
      <name val="Arial"/>
      <family val="2"/>
    </font>
    <font>
      <sz val="10"/>
      <name val="Univers Condensed"/>
    </font>
    <font>
      <b/>
      <sz val="12"/>
      <name val="Verdana"/>
      <family val="2"/>
    </font>
    <font>
      <b/>
      <sz val="15"/>
      <name val="Verdana"/>
      <family val="2"/>
    </font>
    <font>
      <b/>
      <sz val="14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20"/>
      <name val="Verdana"/>
      <family val="2"/>
    </font>
    <font>
      <b/>
      <sz val="16"/>
      <name val="Verdana"/>
      <family val="2"/>
    </font>
    <font>
      <sz val="14"/>
      <name val="Verdana"/>
      <family val="2"/>
    </font>
    <font>
      <b/>
      <u/>
      <sz val="14"/>
      <name val="Verdana"/>
      <family val="2"/>
    </font>
    <font>
      <sz val="10"/>
      <name val="Verdana"/>
      <family val="2"/>
    </font>
    <font>
      <b/>
      <sz val="18"/>
      <name val="Verdana"/>
      <family val="2"/>
    </font>
    <font>
      <b/>
      <sz val="26"/>
      <name val="Verdana"/>
      <family val="2"/>
    </font>
    <font>
      <sz val="8"/>
      <name val="Verdana"/>
      <family val="2"/>
    </font>
    <font>
      <sz val="10"/>
      <color indexed="9"/>
      <name val="Verdana"/>
      <family val="2"/>
    </font>
    <font>
      <sz val="20"/>
      <name val="Verdana"/>
      <family val="2"/>
    </font>
    <font>
      <sz val="10"/>
      <color indexed="10"/>
      <name val="Verdana"/>
      <family val="2"/>
    </font>
    <font>
      <b/>
      <sz val="10"/>
      <color indexed="9"/>
      <name val="Verdana"/>
      <family val="2"/>
    </font>
    <font>
      <b/>
      <u/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b/>
      <sz val="9"/>
      <color indexed="9"/>
      <name val="Verdana"/>
      <family val="2"/>
    </font>
    <font>
      <sz val="11"/>
      <name val="Verdana"/>
      <family val="2"/>
    </font>
    <font>
      <b/>
      <sz val="8"/>
      <name val="Verdana"/>
      <family val="2"/>
    </font>
    <font>
      <sz val="6"/>
      <name val="Verdana"/>
      <family val="2"/>
    </font>
    <font>
      <b/>
      <sz val="7"/>
      <name val="Verdana"/>
      <family val="2"/>
    </font>
    <font>
      <sz val="8"/>
      <color indexed="47"/>
      <name val="Verdana"/>
      <family val="2"/>
    </font>
    <font>
      <sz val="7"/>
      <name val="Verdana"/>
      <family val="2"/>
    </font>
    <font>
      <sz val="8"/>
      <color indexed="9"/>
      <name val="Verdana"/>
      <family val="2"/>
    </font>
    <font>
      <b/>
      <sz val="9"/>
      <color indexed="81"/>
      <name val="Tahoma"/>
      <family val="2"/>
    </font>
    <font>
      <b/>
      <sz val="10"/>
      <color rgb="FFFF0000"/>
      <name val="Arial"/>
      <family val="2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DashDot">
        <color indexed="64"/>
      </top>
      <bottom style="thin">
        <color indexed="64"/>
      </bottom>
      <diagonal/>
    </border>
    <border>
      <left/>
      <right style="mediumDashDot">
        <color indexed="64"/>
      </right>
      <top style="medium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DashDot">
        <color indexed="64"/>
      </left>
      <right style="mediumDashDot">
        <color indexed="64"/>
      </right>
      <top style="mediumDashDot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Dot">
        <color indexed="64"/>
      </left>
      <right/>
      <top style="mediumDashDot">
        <color indexed="64"/>
      </top>
      <bottom style="thin">
        <color indexed="64"/>
      </bottom>
      <diagonal/>
    </border>
  </borders>
  <cellStyleXfs count="7">
    <xf numFmtId="0" fontId="0" fillId="0" borderId="0"/>
    <xf numFmtId="175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425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164" fontId="6" fillId="2" borderId="4" xfId="5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8" fillId="2" borderId="8" xfId="0" applyFont="1" applyFill="1" applyBorder="1" applyAlignment="1">
      <alignment horizontal="center" vertical="center" wrapText="1"/>
    </xf>
    <xf numFmtId="0" fontId="14" fillId="2" borderId="0" xfId="0" applyFont="1" applyFill="1"/>
    <xf numFmtId="164" fontId="14" fillId="2" borderId="0" xfId="5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15" fontId="14" fillId="2" borderId="9" xfId="0" applyNumberFormat="1" applyFont="1" applyFill="1" applyBorder="1" applyAlignment="1">
      <alignment horizontal="left" vertical="center"/>
    </xf>
    <xf numFmtId="164" fontId="14" fillId="2" borderId="18" xfId="5" applyFont="1" applyFill="1" applyBorder="1" applyAlignment="1">
      <alignment vertical="center"/>
    </xf>
    <xf numFmtId="0" fontId="8" fillId="4" borderId="0" xfId="0" applyFont="1" applyFill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17" fontId="14" fillId="2" borderId="9" xfId="0" applyNumberFormat="1" applyFont="1" applyFill="1" applyBorder="1" applyAlignment="1">
      <alignment horizontal="left" vertical="center"/>
    </xf>
    <xf numFmtId="164" fontId="14" fillId="2" borderId="9" xfId="5" applyFont="1" applyFill="1" applyBorder="1" applyAlignment="1">
      <alignment vertical="center"/>
    </xf>
    <xf numFmtId="164" fontId="14" fillId="0" borderId="9" xfId="5" applyFont="1" applyBorder="1"/>
    <xf numFmtId="0" fontId="8" fillId="2" borderId="20" xfId="0" applyFont="1" applyFill="1" applyBorder="1" applyAlignment="1">
      <alignment horizontal="centerContinuous"/>
    </xf>
    <xf numFmtId="164" fontId="8" fillId="2" borderId="10" xfId="5" applyFont="1" applyFill="1" applyBorder="1" applyAlignment="1">
      <alignment horizontal="centerContinuous"/>
    </xf>
    <xf numFmtId="164" fontId="8" fillId="2" borderId="11" xfId="5" applyFont="1" applyFill="1" applyBorder="1" applyAlignment="1">
      <alignment horizontal="centerContinuous"/>
    </xf>
    <xf numFmtId="0" fontId="8" fillId="2" borderId="21" xfId="0" applyFont="1" applyFill="1" applyBorder="1" applyAlignment="1">
      <alignment horizontal="right"/>
    </xf>
    <xf numFmtId="164" fontId="8" fillId="2" borderId="21" xfId="5" applyFont="1" applyFill="1" applyBorder="1" applyAlignment="1">
      <alignment horizontal="right"/>
    </xf>
    <xf numFmtId="164" fontId="8" fillId="2" borderId="21" xfId="5" applyFont="1" applyFill="1" applyBorder="1" applyAlignment="1">
      <alignment horizontal="center" vertical="center" wrapText="1"/>
    </xf>
    <xf numFmtId="164" fontId="8" fillId="2" borderId="22" xfId="5" applyFont="1" applyFill="1" applyBorder="1" applyAlignment="1">
      <alignment horizontal="right"/>
    </xf>
    <xf numFmtId="164" fontId="8" fillId="2" borderId="9" xfId="5" applyFont="1" applyFill="1" applyBorder="1" applyAlignment="1">
      <alignment horizontal="right"/>
    </xf>
    <xf numFmtId="171" fontId="14" fillId="2" borderId="0" xfId="0" applyNumberFormat="1" applyFont="1" applyFill="1"/>
    <xf numFmtId="164" fontId="14" fillId="2" borderId="0" xfId="5" applyFont="1" applyFill="1"/>
    <xf numFmtId="164" fontId="14" fillId="2" borderId="9" xfId="5" applyFont="1" applyFill="1" applyBorder="1"/>
    <xf numFmtId="0" fontId="14" fillId="2" borderId="9" xfId="0" applyFont="1" applyFill="1" applyBorder="1"/>
    <xf numFmtId="0" fontId="14" fillId="0" borderId="0" xfId="0" applyFont="1"/>
    <xf numFmtId="164" fontId="14" fillId="2" borderId="0" xfId="5" applyFont="1" applyFill="1" applyBorder="1" applyAlignment="1">
      <alignment vertical="center"/>
    </xf>
    <xf numFmtId="15" fontId="14" fillId="2" borderId="26" xfId="0" applyNumberFormat="1" applyFont="1" applyFill="1" applyBorder="1" applyAlignment="1">
      <alignment horizontal="left" vertical="center"/>
    </xf>
    <xf numFmtId="0" fontId="14" fillId="2" borderId="23" xfId="0" applyFont="1" applyFill="1" applyBorder="1" applyAlignment="1">
      <alignment vertical="center"/>
    </xf>
    <xf numFmtId="0" fontId="14" fillId="2" borderId="2" xfId="0" applyFont="1" applyFill="1" applyBorder="1"/>
    <xf numFmtId="0" fontId="14" fillId="2" borderId="1" xfId="0" applyFont="1" applyFill="1" applyBorder="1"/>
    <xf numFmtId="0" fontId="14" fillId="2" borderId="7" xfId="0" applyFont="1" applyFill="1" applyBorder="1"/>
    <xf numFmtId="17" fontId="14" fillId="2" borderId="0" xfId="0" applyNumberFormat="1" applyFont="1" applyFill="1"/>
    <xf numFmtId="0" fontId="8" fillId="2" borderId="0" xfId="0" applyFont="1" applyFill="1"/>
    <xf numFmtId="167" fontId="8" fillId="2" borderId="0" xfId="0" applyNumberFormat="1" applyFont="1" applyFill="1" applyAlignment="1">
      <alignment horizontal="left"/>
    </xf>
    <xf numFmtId="0" fontId="14" fillId="2" borderId="6" xfId="0" applyFont="1" applyFill="1" applyBorder="1"/>
    <xf numFmtId="0" fontId="14" fillId="2" borderId="0" xfId="0" applyFont="1" applyFill="1" applyAlignment="1">
      <alignment horizontal="center"/>
    </xf>
    <xf numFmtId="0" fontId="8" fillId="2" borderId="9" xfId="0" applyFont="1" applyFill="1" applyBorder="1" applyAlignment="1" applyProtection="1">
      <alignment horizontal="center" vertical="center" wrapText="1"/>
      <protection locked="0"/>
    </xf>
    <xf numFmtId="17" fontId="14" fillId="2" borderId="2" xfId="0" applyNumberFormat="1" applyFont="1" applyFill="1" applyBorder="1" applyAlignment="1" applyProtection="1">
      <alignment horizontal="left" vertical="center"/>
      <protection hidden="1"/>
    </xf>
    <xf numFmtId="164" fontId="14" fillId="2" borderId="6" xfId="5" applyFont="1" applyFill="1" applyBorder="1" applyAlignment="1" applyProtection="1">
      <alignment vertical="center"/>
      <protection hidden="1"/>
    </xf>
    <xf numFmtId="17" fontId="22" fillId="2" borderId="2" xfId="0" applyNumberFormat="1" applyFont="1" applyFill="1" applyBorder="1" applyAlignment="1" applyProtection="1">
      <alignment horizontal="left" vertical="center"/>
      <protection hidden="1"/>
    </xf>
    <xf numFmtId="164" fontId="14" fillId="2" borderId="7" xfId="5" applyFont="1" applyFill="1" applyBorder="1" applyAlignment="1" applyProtection="1">
      <alignment vertical="center"/>
      <protection hidden="1"/>
    </xf>
    <xf numFmtId="0" fontId="23" fillId="2" borderId="0" xfId="0" applyFont="1" applyFill="1"/>
    <xf numFmtId="0" fontId="18" fillId="2" borderId="0" xfId="0" applyFont="1" applyFill="1"/>
    <xf numFmtId="167" fontId="24" fillId="2" borderId="0" xfId="0" applyNumberFormat="1" applyFont="1" applyFill="1" applyAlignment="1">
      <alignment horizontal="left"/>
    </xf>
    <xf numFmtId="167" fontId="24" fillId="2" borderId="0" xfId="0" applyNumberFormat="1" applyFont="1" applyFill="1" applyAlignment="1">
      <alignment horizontal="center"/>
    </xf>
    <xf numFmtId="0" fontId="23" fillId="2" borderId="0" xfId="0" applyFont="1" applyFill="1" applyAlignment="1" applyProtection="1">
      <alignment vertical="center"/>
      <protection locked="0" hidden="1"/>
    </xf>
    <xf numFmtId="0" fontId="24" fillId="2" borderId="9" xfId="0" applyFont="1" applyFill="1" applyBorder="1" applyAlignment="1">
      <alignment horizontal="center" vertical="center" wrapText="1"/>
    </xf>
    <xf numFmtId="164" fontId="23" fillId="2" borderId="0" xfId="5" applyFont="1" applyFill="1" applyBorder="1" applyAlignment="1" applyProtection="1">
      <alignment vertical="center"/>
      <protection hidden="1"/>
    </xf>
    <xf numFmtId="164" fontId="23" fillId="2" borderId="0" xfId="5" applyFont="1" applyFill="1" applyBorder="1" applyAlignment="1" applyProtection="1">
      <alignment horizontal="center" vertical="center"/>
      <protection hidden="1"/>
    </xf>
    <xf numFmtId="164" fontId="23" fillId="2" borderId="0" xfId="5" applyFont="1" applyFill="1" applyBorder="1" applyAlignment="1" applyProtection="1">
      <alignment vertical="center"/>
      <protection locked="0"/>
    </xf>
    <xf numFmtId="164" fontId="14" fillId="2" borderId="0" xfId="5" applyFont="1" applyFill="1" applyBorder="1"/>
    <xf numFmtId="164" fontId="14" fillId="2" borderId="6" xfId="5" applyFont="1" applyFill="1" applyBorder="1"/>
    <xf numFmtId="171" fontId="14" fillId="2" borderId="2" xfId="0" applyNumberFormat="1" applyFont="1" applyFill="1" applyBorder="1" applyAlignment="1" applyProtection="1">
      <alignment horizontal="left" vertical="center"/>
      <protection hidden="1"/>
    </xf>
    <xf numFmtId="17" fontId="23" fillId="2" borderId="0" xfId="0" applyNumberFormat="1" applyFont="1" applyFill="1"/>
    <xf numFmtId="171" fontId="22" fillId="2" borderId="2" xfId="0" applyNumberFormat="1" applyFont="1" applyFill="1" applyBorder="1" applyAlignment="1" applyProtection="1">
      <alignment horizontal="left" vertical="center"/>
      <protection hidden="1"/>
    </xf>
    <xf numFmtId="164" fontId="23" fillId="2" borderId="1" xfId="5" applyFont="1" applyFill="1" applyBorder="1" applyAlignment="1" applyProtection="1">
      <alignment vertical="center"/>
      <protection hidden="1"/>
    </xf>
    <xf numFmtId="164" fontId="23" fillId="2" borderId="1" xfId="5" applyFont="1" applyFill="1" applyBorder="1" applyAlignment="1" applyProtection="1">
      <alignment vertical="center"/>
      <protection locked="0"/>
    </xf>
    <xf numFmtId="164" fontId="14" fillId="2" borderId="1" xfId="5" applyFont="1" applyFill="1" applyBorder="1"/>
    <xf numFmtId="0" fontId="12" fillId="6" borderId="14" xfId="0" applyFont="1" applyFill="1" applyBorder="1" applyAlignment="1">
      <alignment horizontal="center"/>
    </xf>
    <xf numFmtId="0" fontId="12" fillId="6" borderId="14" xfId="0" applyFont="1" applyFill="1" applyBorder="1"/>
    <xf numFmtId="0" fontId="12" fillId="6" borderId="4" xfId="0" applyFont="1" applyFill="1" applyBorder="1"/>
    <xf numFmtId="0" fontId="8" fillId="2" borderId="0" xfId="0" applyFont="1" applyFill="1" applyAlignment="1">
      <alignment horizontal="center"/>
    </xf>
    <xf numFmtId="0" fontId="14" fillId="2" borderId="0" xfId="0" applyFont="1" applyFill="1" applyAlignment="1" applyProtection="1">
      <alignment horizontal="center"/>
      <protection locked="0" hidden="1"/>
    </xf>
    <xf numFmtId="0" fontId="8" fillId="2" borderId="29" xfId="0" applyFont="1" applyFill="1" applyBorder="1" applyAlignment="1" applyProtection="1">
      <alignment horizontal="center" vertical="center"/>
      <protection locked="0" hidden="1"/>
    </xf>
    <xf numFmtId="0" fontId="8" fillId="2" borderId="29" xfId="0" applyFont="1" applyFill="1" applyBorder="1" applyAlignment="1" applyProtection="1">
      <alignment vertical="center"/>
      <protection locked="0" hidden="1"/>
    </xf>
    <xf numFmtId="0" fontId="8" fillId="2" borderId="30" xfId="0" applyFont="1" applyFill="1" applyBorder="1" applyAlignment="1" applyProtection="1">
      <alignment vertical="center"/>
      <protection locked="0" hidden="1"/>
    </xf>
    <xf numFmtId="0" fontId="8" fillId="2" borderId="4" xfId="0" applyFont="1" applyFill="1" applyBorder="1" applyAlignment="1">
      <alignment horizontal="center" vertical="center" wrapText="1"/>
    </xf>
    <xf numFmtId="164" fontId="8" fillId="2" borderId="9" xfId="5" applyFont="1" applyFill="1" applyBorder="1" applyAlignment="1">
      <alignment horizontal="center" vertical="center" wrapText="1"/>
    </xf>
    <xf numFmtId="164" fontId="8" fillId="4" borderId="9" xfId="5" applyFont="1" applyFill="1" applyBorder="1" applyAlignment="1">
      <alignment horizontal="center" vertical="center" wrapText="1"/>
    </xf>
    <xf numFmtId="14" fontId="14" fillId="2" borderId="0" xfId="0" applyNumberFormat="1" applyFont="1" applyFill="1" applyAlignment="1">
      <alignment horizontal="left" vertical="center"/>
    </xf>
    <xf numFmtId="14" fontId="14" fillId="2" borderId="6" xfId="0" applyNumberFormat="1" applyFont="1" applyFill="1" applyBorder="1" applyAlignment="1">
      <alignment horizontal="left" vertical="center"/>
    </xf>
    <xf numFmtId="164" fontId="14" fillId="2" borderId="6" xfId="0" applyNumberFormat="1" applyFont="1" applyFill="1" applyBorder="1" applyAlignment="1">
      <alignment horizontal="center" vertical="center"/>
    </xf>
    <xf numFmtId="164" fontId="14" fillId="2" borderId="15" xfId="0" applyNumberFormat="1" applyFont="1" applyFill="1" applyBorder="1" applyAlignment="1">
      <alignment horizontal="center" vertical="center"/>
    </xf>
    <xf numFmtId="10" fontId="14" fillId="2" borderId="15" xfId="4" applyNumberFormat="1" applyFont="1" applyFill="1" applyBorder="1" applyAlignment="1">
      <alignment horizontal="center" vertical="center"/>
    </xf>
    <xf numFmtId="164" fontId="14" fillId="2" borderId="15" xfId="5" applyFont="1" applyFill="1" applyBorder="1" applyAlignment="1">
      <alignment horizontal="center" vertical="center"/>
    </xf>
    <xf numFmtId="14" fontId="9" fillId="2" borderId="6" xfId="0" applyNumberFormat="1" applyFont="1" applyFill="1" applyBorder="1" applyAlignment="1">
      <alignment horizontal="left" vertical="center"/>
    </xf>
    <xf numFmtId="14" fontId="26" fillId="2" borderId="6" xfId="0" applyNumberFormat="1" applyFont="1" applyFill="1" applyBorder="1" applyAlignment="1">
      <alignment horizontal="left" vertical="center"/>
    </xf>
    <xf numFmtId="14" fontId="8" fillId="2" borderId="14" xfId="0" applyNumberFormat="1" applyFont="1" applyFill="1" applyBorder="1" applyAlignment="1">
      <alignment vertical="center"/>
    </xf>
    <xf numFmtId="164" fontId="8" fillId="2" borderId="9" xfId="0" applyNumberFormat="1" applyFont="1" applyFill="1" applyBorder="1" applyAlignment="1">
      <alignment horizontal="center" vertical="center"/>
    </xf>
    <xf numFmtId="164" fontId="8" fillId="2" borderId="14" xfId="0" applyNumberFormat="1" applyFont="1" applyFill="1" applyBorder="1" applyAlignment="1">
      <alignment horizontal="center" vertical="center"/>
    </xf>
    <xf numFmtId="14" fontId="8" fillId="2" borderId="14" xfId="0" applyNumberFormat="1" applyFont="1" applyFill="1" applyBorder="1" applyAlignment="1">
      <alignment horizontal="center" vertical="center"/>
    </xf>
    <xf numFmtId="14" fontId="8" fillId="2" borderId="4" xfId="0" applyNumberFormat="1" applyFont="1" applyFill="1" applyBorder="1" applyAlignment="1">
      <alignment horizontal="center" vertical="center"/>
    </xf>
    <xf numFmtId="164" fontId="5" fillId="6" borderId="9" xfId="0" applyNumberFormat="1" applyFont="1" applyFill="1" applyBorder="1" applyAlignment="1">
      <alignment horizontal="center" vertical="center"/>
    </xf>
    <xf numFmtId="164" fontId="18" fillId="2" borderId="0" xfId="0" applyNumberFormat="1" applyFont="1" applyFill="1" applyAlignment="1">
      <alignment horizontal="center" vertical="center"/>
    </xf>
    <xf numFmtId="164" fontId="8" fillId="2" borderId="0" xfId="0" applyNumberFormat="1" applyFont="1" applyFill="1" applyAlignment="1">
      <alignment horizontal="center" vertical="center"/>
    </xf>
    <xf numFmtId="14" fontId="21" fillId="2" borderId="0" xfId="0" applyNumberFormat="1" applyFont="1" applyFill="1" applyAlignment="1">
      <alignment horizontal="center" vertical="center"/>
    </xf>
    <xf numFmtId="14" fontId="8" fillId="2" borderId="0" xfId="0" applyNumberFormat="1" applyFont="1" applyFill="1" applyAlignment="1">
      <alignment horizontal="center" vertical="center"/>
    </xf>
    <xf numFmtId="164" fontId="14" fillId="2" borderId="0" xfId="0" applyNumberFormat="1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167" fontId="8" fillId="2" borderId="2" xfId="0" applyNumberFormat="1" applyFont="1" applyFill="1" applyBorder="1" applyAlignment="1">
      <alignment horizontal="left"/>
    </xf>
    <xf numFmtId="167" fontId="8" fillId="2" borderId="6" xfId="0" applyNumberFormat="1" applyFont="1" applyFill="1" applyBorder="1" applyAlignment="1">
      <alignment horizontal="left"/>
    </xf>
    <xf numFmtId="0" fontId="21" fillId="2" borderId="0" xfId="0" applyFont="1" applyFill="1" applyAlignment="1">
      <alignment horizontal="center"/>
    </xf>
    <xf numFmtId="14" fontId="14" fillId="2" borderId="26" xfId="0" applyNumberFormat="1" applyFont="1" applyFill="1" applyBorder="1" applyAlignment="1">
      <alignment horizontal="left" vertical="center" indent="1"/>
    </xf>
    <xf numFmtId="14" fontId="14" fillId="2" borderId="23" xfId="0" applyNumberFormat="1" applyFont="1" applyFill="1" applyBorder="1" applyAlignment="1">
      <alignment horizontal="left" vertical="center" indent="1"/>
    </xf>
    <xf numFmtId="164" fontId="18" fillId="2" borderId="23" xfId="0" applyNumberFormat="1" applyFont="1" applyFill="1" applyBorder="1" applyAlignment="1">
      <alignment horizontal="center" vertical="center"/>
    </xf>
    <xf numFmtId="164" fontId="18" fillId="2" borderId="27" xfId="0" applyNumberFormat="1" applyFont="1" applyFill="1" applyBorder="1" applyAlignment="1">
      <alignment horizontal="center" vertical="center"/>
    </xf>
    <xf numFmtId="164" fontId="14" fillId="2" borderId="31" xfId="5" applyFont="1" applyFill="1" applyBorder="1" applyAlignment="1">
      <alignment horizontal="center" vertical="center"/>
    </xf>
    <xf numFmtId="14" fontId="14" fillId="2" borderId="2" xfId="0" applyNumberFormat="1" applyFont="1" applyFill="1" applyBorder="1" applyAlignment="1">
      <alignment horizontal="left" vertical="center" indent="1"/>
    </xf>
    <xf numFmtId="14" fontId="14" fillId="2" borderId="0" xfId="0" applyNumberFormat="1" applyFont="1" applyFill="1" applyAlignment="1">
      <alignment horizontal="left" vertical="center" indent="2"/>
    </xf>
    <xf numFmtId="164" fontId="18" fillId="2" borderId="6" xfId="0" applyNumberFormat="1" applyFont="1" applyFill="1" applyBorder="1" applyAlignment="1">
      <alignment horizontal="center" vertical="center"/>
    </xf>
    <xf numFmtId="14" fontId="14" fillId="2" borderId="0" xfId="0" applyNumberFormat="1" applyFont="1" applyFill="1" applyAlignment="1">
      <alignment horizontal="left" vertical="center" indent="1"/>
    </xf>
    <xf numFmtId="14" fontId="8" fillId="2" borderId="0" xfId="0" applyNumberFormat="1" applyFont="1" applyFill="1" applyAlignment="1">
      <alignment horizontal="left" vertical="center"/>
    </xf>
    <xf numFmtId="164" fontId="8" fillId="2" borderId="9" xfId="5" applyFont="1" applyFill="1" applyBorder="1" applyAlignment="1">
      <alignment horizontal="right" vertical="center"/>
    </xf>
    <xf numFmtId="0" fontId="14" fillId="2" borderId="2" xfId="0" applyFont="1" applyFill="1" applyBorder="1" applyAlignment="1">
      <alignment horizontal="left" indent="1"/>
    </xf>
    <xf numFmtId="0" fontId="5" fillId="2" borderId="0" xfId="0" applyFont="1" applyFill="1" applyAlignment="1">
      <alignment vertical="center" wrapText="1"/>
    </xf>
    <xf numFmtId="164" fontId="14" fillId="2" borderId="31" xfId="5" applyFont="1" applyFill="1" applyBorder="1" applyAlignment="1">
      <alignment horizontal="right" vertical="center"/>
    </xf>
    <xf numFmtId="43" fontId="14" fillId="2" borderId="0" xfId="0" applyNumberFormat="1" applyFont="1" applyFill="1"/>
    <xf numFmtId="164" fontId="14" fillId="2" borderId="15" xfId="0" applyNumberFormat="1" applyFont="1" applyFill="1" applyBorder="1"/>
    <xf numFmtId="164" fontId="14" fillId="2" borderId="15" xfId="5" applyFont="1" applyFill="1" applyBorder="1" applyAlignment="1">
      <alignment horizontal="right" vertical="center"/>
    </xf>
    <xf numFmtId="165" fontId="8" fillId="2" borderId="0" xfId="3" applyFont="1" applyFill="1" applyBorder="1" applyAlignment="1">
      <alignment horizontal="center" vertical="center"/>
    </xf>
    <xf numFmtId="164" fontId="14" fillId="2" borderId="15" xfId="0" applyNumberFormat="1" applyFont="1" applyFill="1" applyBorder="1" applyAlignment="1">
      <alignment horizontal="right" vertical="center"/>
    </xf>
    <xf numFmtId="164" fontId="8" fillId="2" borderId="0" xfId="5" applyFont="1" applyFill="1" applyBorder="1" applyAlignment="1" applyProtection="1">
      <alignment horizontal="center" vertical="center"/>
      <protection locked="0"/>
    </xf>
    <xf numFmtId="10" fontId="14" fillId="2" borderId="15" xfId="4" applyNumberFormat="1" applyFont="1" applyFill="1" applyBorder="1" applyAlignment="1">
      <alignment horizontal="right" vertical="center"/>
    </xf>
    <xf numFmtId="0" fontId="8" fillId="2" borderId="0" xfId="0" applyFont="1" applyFill="1" applyAlignment="1">
      <alignment horizontal="center" vertical="center" textRotation="35"/>
    </xf>
    <xf numFmtId="164" fontId="14" fillId="2" borderId="28" xfId="0" applyNumberFormat="1" applyFont="1" applyFill="1" applyBorder="1" applyAlignment="1">
      <alignment horizontal="right" vertical="center"/>
    </xf>
    <xf numFmtId="0" fontId="14" fillId="2" borderId="14" xfId="0" applyFont="1" applyFill="1" applyBorder="1"/>
    <xf numFmtId="164" fontId="5" fillId="3" borderId="9" xfId="5" applyFont="1" applyFill="1" applyBorder="1" applyAlignment="1">
      <alignment horizontal="right" vertical="center"/>
    </xf>
    <xf numFmtId="0" fontId="24" fillId="2" borderId="2" xfId="0" applyFont="1" applyFill="1" applyBorder="1"/>
    <xf numFmtId="164" fontId="5" fillId="2" borderId="0" xfId="5" applyFont="1" applyFill="1" applyBorder="1" applyAlignment="1">
      <alignment horizontal="right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14" fillId="2" borderId="3" xfId="0" applyFont="1" applyFill="1" applyBorder="1"/>
    <xf numFmtId="164" fontId="8" fillId="2" borderId="7" xfId="5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 vertical="center"/>
    </xf>
    <xf numFmtId="164" fontId="8" fillId="2" borderId="23" xfId="5" applyFont="1" applyFill="1" applyBorder="1" applyAlignment="1" applyProtection="1">
      <alignment horizontal="center" vertical="center"/>
      <protection locked="0"/>
    </xf>
    <xf numFmtId="1" fontId="8" fillId="2" borderId="27" xfId="5" applyNumberFormat="1" applyFont="1" applyFill="1" applyBorder="1" applyAlignment="1" applyProtection="1">
      <alignment horizontal="center" vertical="center"/>
      <protection locked="0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textRotation="35"/>
    </xf>
    <xf numFmtId="164" fontId="8" fillId="2" borderId="1" xfId="5" applyFont="1" applyFill="1" applyBorder="1" applyAlignment="1" applyProtection="1">
      <alignment horizontal="center" vertical="center"/>
      <protection locked="0"/>
    </xf>
    <xf numFmtId="164" fontId="8" fillId="2" borderId="7" xfId="5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/>
    </xf>
    <xf numFmtId="14" fontId="23" fillId="2" borderId="2" xfId="0" applyNumberFormat="1" applyFont="1" applyFill="1" applyBorder="1" applyAlignment="1">
      <alignment horizontal="left" vertical="center" indent="1"/>
    </xf>
    <xf numFmtId="0" fontId="14" fillId="2" borderId="4" xfId="0" applyFont="1" applyFill="1" applyBorder="1"/>
    <xf numFmtId="164" fontId="14" fillId="2" borderId="9" xfId="0" applyNumberFormat="1" applyFont="1" applyFill="1" applyBorder="1"/>
    <xf numFmtId="0" fontId="14" fillId="2" borderId="23" xfId="0" applyFont="1" applyFill="1" applyBorder="1" applyAlignment="1">
      <alignment horizontal="left" indent="1"/>
    </xf>
    <xf numFmtId="0" fontId="14" fillId="2" borderId="23" xfId="0" applyFont="1" applyFill="1" applyBorder="1"/>
    <xf numFmtId="0" fontId="14" fillId="2" borderId="27" xfId="0" applyFont="1" applyFill="1" applyBorder="1"/>
    <xf numFmtId="0" fontId="14" fillId="2" borderId="0" xfId="0" applyFont="1" applyFill="1" applyAlignment="1">
      <alignment horizontal="left" indent="1"/>
    </xf>
    <xf numFmtId="0" fontId="14" fillId="2" borderId="1" xfId="0" applyFont="1" applyFill="1" applyBorder="1" applyAlignment="1">
      <alignment horizontal="left" indent="1"/>
    </xf>
    <xf numFmtId="0" fontId="14" fillId="2" borderId="23" xfId="0" applyFont="1" applyFill="1" applyBorder="1" applyAlignment="1">
      <alignment horizontal="left" vertical="center" indent="1"/>
    </xf>
    <xf numFmtId="0" fontId="24" fillId="2" borderId="23" xfId="0" applyFont="1" applyFill="1" applyBorder="1" applyAlignment="1">
      <alignment vertical="center"/>
    </xf>
    <xf numFmtId="164" fontId="5" fillId="3" borderId="31" xfId="5" applyFont="1" applyFill="1" applyBorder="1" applyAlignment="1">
      <alignment horizontal="right" vertical="center"/>
    </xf>
    <xf numFmtId="0" fontId="24" fillId="2" borderId="26" xfId="0" applyFont="1" applyFill="1" applyBorder="1" applyAlignment="1">
      <alignment horizontal="left" vertical="center" indent="1"/>
    </xf>
    <xf numFmtId="164" fontId="5" fillId="2" borderId="4" xfId="5" applyFont="1" applyFill="1" applyBorder="1" applyAlignment="1">
      <alignment horizontal="right" vertical="center"/>
    </xf>
    <xf numFmtId="0" fontId="14" fillId="2" borderId="14" xfId="0" applyFont="1" applyFill="1" applyBorder="1" applyAlignment="1">
      <alignment horizontal="left" indent="1"/>
    </xf>
    <xf numFmtId="164" fontId="8" fillId="2" borderId="0" xfId="5" applyFont="1" applyFill="1" applyBorder="1" applyAlignment="1">
      <alignment horizontal="center"/>
    </xf>
    <xf numFmtId="164" fontId="6" fillId="2" borderId="9" xfId="5" applyFont="1" applyFill="1" applyBorder="1" applyAlignment="1">
      <alignment vertical="center"/>
    </xf>
    <xf numFmtId="0" fontId="0" fillId="2" borderId="23" xfId="0" applyFill="1" applyBorder="1"/>
    <xf numFmtId="0" fontId="0" fillId="2" borderId="27" xfId="0" applyFill="1" applyBorder="1"/>
    <xf numFmtId="164" fontId="23" fillId="2" borderId="6" xfId="5" applyFont="1" applyFill="1" applyBorder="1" applyAlignment="1" applyProtection="1">
      <alignment vertical="center"/>
      <protection hidden="1"/>
    </xf>
    <xf numFmtId="17" fontId="8" fillId="2" borderId="2" xfId="0" applyNumberFormat="1" applyFont="1" applyFill="1" applyBorder="1" applyAlignment="1" applyProtection="1">
      <alignment horizontal="left" vertical="center"/>
      <protection hidden="1"/>
    </xf>
    <xf numFmtId="171" fontId="8" fillId="2" borderId="2" xfId="0" applyNumberFormat="1" applyFont="1" applyFill="1" applyBorder="1" applyAlignment="1" applyProtection="1">
      <alignment horizontal="left" vertical="center"/>
      <protection hidden="1"/>
    </xf>
    <xf numFmtId="172" fontId="14" fillId="2" borderId="3" xfId="0" applyNumberFormat="1" applyFont="1" applyFill="1" applyBorder="1" applyAlignment="1" applyProtection="1">
      <alignment horizontal="left" vertical="center"/>
      <protection hidden="1"/>
    </xf>
    <xf numFmtId="40" fontId="23" fillId="2" borderId="7" xfId="5" applyNumberFormat="1" applyFont="1" applyFill="1" applyBorder="1" applyAlignment="1" applyProtection="1">
      <alignment vertical="center"/>
      <protection hidden="1"/>
    </xf>
    <xf numFmtId="171" fontId="8" fillId="2" borderId="12" xfId="0" applyNumberFormat="1" applyFont="1" applyFill="1" applyBorder="1" applyAlignment="1" applyProtection="1">
      <alignment horizontal="left" vertical="center"/>
      <protection hidden="1"/>
    </xf>
    <xf numFmtId="164" fontId="23" fillId="2" borderId="10" xfId="5" applyFont="1" applyFill="1" applyBorder="1" applyAlignment="1" applyProtection="1">
      <alignment vertical="center"/>
      <protection hidden="1"/>
    </xf>
    <xf numFmtId="164" fontId="23" fillId="2" borderId="10" xfId="5" applyFont="1" applyFill="1" applyBorder="1" applyAlignment="1" applyProtection="1">
      <alignment horizontal="center" vertical="center"/>
      <protection hidden="1"/>
    </xf>
    <xf numFmtId="164" fontId="23" fillId="2" borderId="10" xfId="5" applyFont="1" applyFill="1" applyBorder="1" applyAlignment="1" applyProtection="1">
      <alignment vertical="center"/>
      <protection locked="0"/>
    </xf>
    <xf numFmtId="164" fontId="23" fillId="2" borderId="32" xfId="5" applyFont="1" applyFill="1" applyBorder="1" applyAlignment="1" applyProtection="1">
      <alignment vertical="center"/>
      <protection hidden="1"/>
    </xf>
    <xf numFmtId="168" fontId="14" fillId="2" borderId="0" xfId="5" applyNumberFormat="1" applyFont="1" applyFill="1" applyBorder="1" applyAlignment="1" applyProtection="1">
      <alignment horizontal="center" vertical="center"/>
      <protection hidden="1"/>
    </xf>
    <xf numFmtId="164" fontId="14" fillId="2" borderId="10" xfId="5" applyFont="1" applyFill="1" applyBorder="1"/>
    <xf numFmtId="168" fontId="14" fillId="2" borderId="10" xfId="5" applyNumberFormat="1" applyFont="1" applyFill="1" applyBorder="1" applyAlignment="1" applyProtection="1">
      <alignment horizontal="center" vertical="center"/>
      <protection hidden="1"/>
    </xf>
    <xf numFmtId="10" fontId="14" fillId="2" borderId="0" xfId="4" applyNumberFormat="1" applyFont="1" applyFill="1" applyBorder="1" applyAlignment="1">
      <alignment horizontal="center"/>
    </xf>
    <xf numFmtId="10" fontId="14" fillId="2" borderId="23" xfId="4" applyNumberFormat="1" applyFont="1" applyFill="1" applyBorder="1" applyAlignment="1">
      <alignment horizontal="center"/>
    </xf>
    <xf numFmtId="10" fontId="14" fillId="2" borderId="1" xfId="4" applyNumberFormat="1" applyFont="1" applyFill="1" applyBorder="1" applyAlignment="1">
      <alignment horizontal="center"/>
    </xf>
    <xf numFmtId="10" fontId="14" fillId="2" borderId="10" xfId="4" applyNumberFormat="1" applyFont="1" applyFill="1" applyBorder="1" applyAlignment="1">
      <alignment horizontal="center"/>
    </xf>
    <xf numFmtId="164" fontId="14" fillId="0" borderId="0" xfId="5" applyFont="1"/>
    <xf numFmtId="164" fontId="28" fillId="2" borderId="0" xfId="5" applyFont="1" applyFill="1"/>
    <xf numFmtId="0" fontId="16" fillId="2" borderId="0" xfId="0" applyFont="1" applyFill="1" applyAlignment="1">
      <alignment horizontal="left" vertical="center"/>
    </xf>
    <xf numFmtId="164" fontId="8" fillId="2" borderId="0" xfId="5" applyFont="1" applyFill="1" applyBorder="1" applyAlignment="1">
      <alignment horizontal="center" vertical="center"/>
    </xf>
    <xf numFmtId="10" fontId="8" fillId="2" borderId="0" xfId="3" applyNumberFormat="1" applyFont="1" applyFill="1" applyBorder="1" applyAlignment="1">
      <alignment horizontal="center"/>
    </xf>
    <xf numFmtId="164" fontId="8" fillId="2" borderId="6" xfId="5" applyFont="1" applyFill="1" applyBorder="1" applyAlignment="1">
      <alignment horizontal="center"/>
    </xf>
    <xf numFmtId="10" fontId="8" fillId="2" borderId="1" xfId="3" applyNumberFormat="1" applyFont="1" applyFill="1" applyBorder="1" applyAlignment="1">
      <alignment horizontal="center"/>
    </xf>
    <xf numFmtId="17" fontId="14" fillId="0" borderId="0" xfId="0" applyNumberFormat="1" applyFont="1"/>
    <xf numFmtId="0" fontId="20" fillId="2" borderId="0" xfId="0" applyFont="1" applyFill="1" applyAlignment="1">
      <alignment horizontal="center"/>
    </xf>
    <xf numFmtId="0" fontId="31" fillId="2" borderId="0" xfId="0" applyFont="1" applyFill="1"/>
    <xf numFmtId="0" fontId="17" fillId="2" borderId="0" xfId="0" applyFont="1" applyFill="1" applyAlignment="1" applyProtection="1">
      <alignment vertical="center"/>
      <protection locked="0" hidden="1"/>
    </xf>
    <xf numFmtId="0" fontId="14" fillId="2" borderId="6" xfId="0" applyFont="1" applyFill="1" applyBorder="1" applyAlignment="1">
      <alignment horizontal="center"/>
    </xf>
    <xf numFmtId="0" fontId="14" fillId="2" borderId="9" xfId="0" applyFont="1" applyFill="1" applyBorder="1" applyAlignment="1">
      <alignment horizontal="center"/>
    </xf>
    <xf numFmtId="0" fontId="28" fillId="2" borderId="31" xfId="0" applyFont="1" applyFill="1" applyBorder="1" applyAlignment="1">
      <alignment horizontal="center"/>
    </xf>
    <xf numFmtId="0" fontId="31" fillId="2" borderId="5" xfId="0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/>
    </xf>
    <xf numFmtId="0" fontId="31" fillId="2" borderId="4" xfId="0" applyFont="1" applyFill="1" applyBorder="1" applyAlignment="1">
      <alignment horizontal="center"/>
    </xf>
    <xf numFmtId="0" fontId="28" fillId="2" borderId="0" xfId="0" applyFont="1" applyFill="1" applyAlignment="1">
      <alignment horizontal="center"/>
    </xf>
    <xf numFmtId="0" fontId="31" fillId="2" borderId="0" xfId="0" applyFont="1" applyFill="1" applyAlignment="1">
      <alignment horizontal="center"/>
    </xf>
    <xf numFmtId="0" fontId="17" fillId="2" borderId="9" xfId="0" applyFont="1" applyFill="1" applyBorder="1" applyAlignment="1" applyProtection="1">
      <alignment horizontal="center" vertical="center"/>
      <protection locked="0" hidden="1"/>
    </xf>
    <xf numFmtId="0" fontId="27" fillId="2" borderId="1" xfId="0" applyFont="1" applyFill="1" applyBorder="1" applyAlignment="1" applyProtection="1">
      <alignment horizontal="left" vertical="center"/>
      <protection locked="0" hidden="1"/>
    </xf>
    <xf numFmtId="0" fontId="14" fillId="2" borderId="1" xfId="0" applyFont="1" applyFill="1" applyBorder="1" applyAlignment="1">
      <alignment horizontal="center" vertical="center"/>
    </xf>
    <xf numFmtId="0" fontId="27" fillId="2" borderId="33" xfId="0" applyFont="1" applyFill="1" applyBorder="1" applyAlignment="1" applyProtection="1">
      <alignment horizontal="center" vertical="center"/>
      <protection locked="0" hidden="1"/>
    </xf>
    <xf numFmtId="0" fontId="17" fillId="2" borderId="1" xfId="0" applyFont="1" applyFill="1" applyBorder="1" applyAlignment="1" applyProtection="1">
      <alignment vertical="center"/>
      <protection locked="0" hidden="1"/>
    </xf>
    <xf numFmtId="164" fontId="17" fillId="2" borderId="1" xfId="0" applyNumberFormat="1" applyFont="1" applyFill="1" applyBorder="1" applyAlignment="1" applyProtection="1">
      <alignment vertical="center"/>
      <protection locked="0" hidden="1"/>
    </xf>
    <xf numFmtId="0" fontId="32" fillId="2" borderId="1" xfId="0" applyFont="1" applyFill="1" applyBorder="1" applyAlignment="1" applyProtection="1">
      <alignment vertical="center"/>
      <protection locked="0" hidden="1"/>
    </xf>
    <xf numFmtId="0" fontId="29" fillId="2" borderId="31" xfId="0" applyFont="1" applyFill="1" applyBorder="1" applyAlignment="1">
      <alignment horizontal="center" vertical="center" wrapText="1"/>
    </xf>
    <xf numFmtId="170" fontId="17" fillId="2" borderId="34" xfId="0" applyNumberFormat="1" applyFont="1" applyFill="1" applyBorder="1" applyAlignment="1">
      <alignment horizontal="centerContinuous"/>
    </xf>
    <xf numFmtId="10" fontId="17" fillId="2" borderId="35" xfId="0" applyNumberFormat="1" applyFont="1" applyFill="1" applyBorder="1"/>
    <xf numFmtId="170" fontId="17" fillId="2" borderId="34" xfId="0" applyNumberFormat="1" applyFont="1" applyFill="1" applyBorder="1" applyAlignment="1">
      <alignment horizontal="right"/>
    </xf>
    <xf numFmtId="170" fontId="17" fillId="2" borderId="35" xfId="0" applyNumberFormat="1" applyFont="1" applyFill="1" applyBorder="1" applyAlignment="1">
      <alignment horizontal="center"/>
    </xf>
    <xf numFmtId="170" fontId="17" fillId="2" borderId="34" xfId="0" applyNumberFormat="1" applyFont="1" applyFill="1" applyBorder="1" applyAlignment="1">
      <alignment horizontal="center"/>
    </xf>
    <xf numFmtId="170" fontId="30" fillId="2" borderId="34" xfId="0" quotePrefix="1" applyNumberFormat="1" applyFont="1" applyFill="1" applyBorder="1" applyAlignment="1">
      <alignment horizontal="centerContinuous"/>
    </xf>
    <xf numFmtId="0" fontId="32" fillId="2" borderId="35" xfId="0" applyFont="1" applyFill="1" applyBorder="1" applyAlignment="1">
      <alignment horizontal="center"/>
    </xf>
    <xf numFmtId="0" fontId="17" fillId="2" borderId="35" xfId="0" applyFont="1" applyFill="1" applyBorder="1" applyAlignment="1">
      <alignment horizontal="centerContinuous"/>
    </xf>
    <xf numFmtId="170" fontId="17" fillId="2" borderId="34" xfId="0" quotePrefix="1" applyNumberFormat="1" applyFont="1" applyFill="1" applyBorder="1" applyAlignment="1">
      <alignment horizontal="centerContinuous"/>
    </xf>
    <xf numFmtId="0" fontId="17" fillId="2" borderId="35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Continuous"/>
    </xf>
    <xf numFmtId="0" fontId="17" fillId="2" borderId="14" xfId="0" applyFont="1" applyFill="1" applyBorder="1" applyAlignment="1">
      <alignment horizontal="center"/>
    </xf>
    <xf numFmtId="170" fontId="32" fillId="2" borderId="34" xfId="0" quotePrefix="1" applyNumberFormat="1" applyFont="1" applyFill="1" applyBorder="1"/>
    <xf numFmtId="0" fontId="18" fillId="2" borderId="35" xfId="0" applyFont="1" applyFill="1" applyBorder="1" applyAlignment="1">
      <alignment horizontal="center"/>
    </xf>
    <xf numFmtId="0" fontId="17" fillId="2" borderId="36" xfId="0" applyFont="1" applyFill="1" applyBorder="1" applyAlignment="1">
      <alignment horizontal="center"/>
    </xf>
    <xf numFmtId="0" fontId="17" fillId="2" borderId="36" xfId="0" quotePrefix="1" applyFont="1" applyFill="1" applyBorder="1" applyAlignment="1">
      <alignment horizontal="center"/>
    </xf>
    <xf numFmtId="0" fontId="17" fillId="2" borderId="0" xfId="0" applyFont="1" applyFill="1"/>
    <xf numFmtId="0" fontId="27" fillId="2" borderId="9" xfId="0" applyFont="1" applyFill="1" applyBorder="1" applyAlignment="1">
      <alignment horizontal="center" vertical="center" wrapText="1"/>
    </xf>
    <xf numFmtId="0" fontId="27" fillId="2" borderId="28" xfId="0" applyFont="1" applyFill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wrapText="1"/>
    </xf>
    <xf numFmtId="0" fontId="27" fillId="2" borderId="37" xfId="0" applyFont="1" applyFill="1" applyBorder="1" applyAlignment="1">
      <alignment horizontal="center" vertical="center" wrapText="1"/>
    </xf>
    <xf numFmtId="0" fontId="27" fillId="2" borderId="38" xfId="0" applyFont="1" applyFill="1" applyBorder="1" applyAlignment="1">
      <alignment horizontal="center" vertical="center" wrapText="1"/>
    </xf>
    <xf numFmtId="164" fontId="17" fillId="2" borderId="38" xfId="5" applyFont="1" applyFill="1" applyBorder="1" applyAlignment="1" applyProtection="1">
      <alignment horizontal="center" vertical="center"/>
      <protection hidden="1"/>
    </xf>
    <xf numFmtId="0" fontId="27" fillId="2" borderId="0" xfId="0" applyFont="1" applyFill="1" applyAlignment="1">
      <alignment horizontal="center" vertical="center" wrapText="1"/>
    </xf>
    <xf numFmtId="170" fontId="17" fillId="2" borderId="24" xfId="0" applyNumberFormat="1" applyFont="1" applyFill="1" applyBorder="1" applyAlignment="1">
      <alignment horizontal="center"/>
    </xf>
    <xf numFmtId="10" fontId="17" fillId="2" borderId="24" xfId="0" applyNumberFormat="1" applyFont="1" applyFill="1" applyBorder="1" applyAlignment="1">
      <alignment horizontal="center"/>
    </xf>
    <xf numFmtId="170" fontId="17" fillId="2" borderId="25" xfId="0" applyNumberFormat="1" applyFont="1" applyFill="1" applyBorder="1" applyAlignment="1">
      <alignment horizontal="center"/>
    </xf>
    <xf numFmtId="170" fontId="17" fillId="2" borderId="25" xfId="0" quotePrefix="1" applyNumberFormat="1" applyFont="1" applyFill="1" applyBorder="1" applyAlignment="1">
      <alignment horizontal="center"/>
    </xf>
    <xf numFmtId="0" fontId="17" fillId="2" borderId="9" xfId="0" applyFont="1" applyFill="1" applyBorder="1"/>
    <xf numFmtId="0" fontId="27" fillId="2" borderId="13" xfId="0" applyFont="1" applyFill="1" applyBorder="1" applyAlignment="1">
      <alignment horizontal="center" vertical="center" wrapText="1"/>
    </xf>
    <xf numFmtId="164" fontId="23" fillId="2" borderId="23" xfId="5" applyFont="1" applyFill="1" applyBorder="1" applyAlignment="1" applyProtection="1">
      <alignment horizontal="center" vertical="center"/>
      <protection hidden="1"/>
    </xf>
    <xf numFmtId="164" fontId="23" fillId="2" borderId="23" xfId="5" applyFont="1" applyFill="1" applyBorder="1" applyAlignment="1" applyProtection="1">
      <alignment vertical="center"/>
      <protection hidden="1"/>
    </xf>
    <xf numFmtId="164" fontId="23" fillId="2" borderId="23" xfId="5" applyFont="1" applyFill="1" applyBorder="1" applyAlignment="1" applyProtection="1">
      <alignment vertical="center"/>
      <protection locked="0"/>
    </xf>
    <xf numFmtId="164" fontId="14" fillId="2" borderId="23" xfId="5" applyFont="1" applyFill="1" applyBorder="1"/>
    <xf numFmtId="38" fontId="14" fillId="2" borderId="23" xfId="5" applyNumberFormat="1" applyFont="1" applyFill="1" applyBorder="1" applyAlignment="1" applyProtection="1">
      <alignment vertical="center"/>
      <protection hidden="1"/>
    </xf>
    <xf numFmtId="164" fontId="23" fillId="2" borderId="0" xfId="5" applyFont="1" applyFill="1" applyBorder="1" applyAlignment="1">
      <alignment horizontal="center" vertical="center"/>
    </xf>
    <xf numFmtId="164" fontId="14" fillId="2" borderId="23" xfId="5" applyFont="1" applyFill="1" applyBorder="1" applyAlignment="1">
      <alignment horizontal="center"/>
    </xf>
    <xf numFmtId="164" fontId="14" fillId="2" borderId="23" xfId="5" applyFont="1" applyFill="1" applyBorder="1" applyAlignment="1" applyProtection="1">
      <alignment horizontal="center" vertical="center"/>
      <protection hidden="1"/>
    </xf>
    <xf numFmtId="164" fontId="14" fillId="2" borderId="0" xfId="5" applyFont="1" applyFill="1" applyBorder="1" applyAlignment="1" applyProtection="1">
      <alignment horizontal="center" vertical="center"/>
      <protection hidden="1"/>
    </xf>
    <xf numFmtId="166" fontId="28" fillId="2" borderId="0" xfId="5" applyNumberFormat="1" applyFont="1" applyFill="1" applyBorder="1" applyAlignment="1" applyProtection="1">
      <alignment horizontal="center" vertical="center"/>
      <protection hidden="1"/>
    </xf>
    <xf numFmtId="10" fontId="28" fillId="2" borderId="0" xfId="4" applyNumberFormat="1" applyFont="1" applyFill="1" applyAlignment="1">
      <alignment horizontal="center"/>
    </xf>
    <xf numFmtId="164" fontId="17" fillId="2" borderId="0" xfId="5" applyFont="1" applyFill="1"/>
    <xf numFmtId="168" fontId="14" fillId="2" borderId="11" xfId="5" applyNumberFormat="1" applyFont="1" applyFill="1" applyBorder="1" applyAlignment="1" applyProtection="1">
      <alignment horizontal="center" vertical="center"/>
      <protection hidden="1"/>
    </xf>
    <xf numFmtId="38" fontId="14" fillId="2" borderId="0" xfId="5" applyNumberFormat="1" applyFont="1" applyFill="1" applyBorder="1" applyAlignment="1" applyProtection="1">
      <alignment vertical="center"/>
      <protection hidden="1"/>
    </xf>
    <xf numFmtId="166" fontId="14" fillId="2" borderId="3" xfId="0" applyNumberFormat="1" applyFont="1" applyFill="1" applyBorder="1" applyAlignment="1">
      <alignment horizontal="left" vertical="center"/>
    </xf>
    <xf numFmtId="164" fontId="14" fillId="2" borderId="1" xfId="0" applyNumberFormat="1" applyFont="1" applyFill="1" applyBorder="1" applyAlignment="1">
      <alignment horizontal="left" vertical="center"/>
    </xf>
    <xf numFmtId="40" fontId="14" fillId="2" borderId="1" xfId="0" applyNumberFormat="1" applyFont="1" applyFill="1" applyBorder="1"/>
    <xf numFmtId="164" fontId="14" fillId="2" borderId="1" xfId="0" applyNumberFormat="1" applyFont="1" applyFill="1" applyBorder="1"/>
    <xf numFmtId="38" fontId="14" fillId="2" borderId="1" xfId="5" applyNumberFormat="1" applyFont="1" applyFill="1" applyBorder="1" applyAlignment="1" applyProtection="1">
      <alignment vertical="center"/>
      <protection hidden="1"/>
    </xf>
    <xf numFmtId="164" fontId="23" fillId="2" borderId="1" xfId="5" applyFont="1" applyFill="1" applyBorder="1" applyAlignment="1">
      <alignment horizontal="center" vertical="center"/>
    </xf>
    <xf numFmtId="164" fontId="14" fillId="2" borderId="1" xfId="5" applyFont="1" applyFill="1" applyBorder="1" applyAlignment="1" applyProtection="1">
      <alignment horizontal="center" vertical="center"/>
      <protection hidden="1"/>
    </xf>
    <xf numFmtId="9" fontId="28" fillId="2" borderId="0" xfId="4" applyFont="1" applyFill="1" applyAlignment="1">
      <alignment horizontal="center"/>
    </xf>
    <xf numFmtId="164" fontId="31" fillId="2" borderId="0" xfId="5" applyFont="1" applyFill="1"/>
    <xf numFmtId="164" fontId="31" fillId="2" borderId="0" xfId="0" applyNumberFormat="1" applyFont="1" applyFill="1"/>
    <xf numFmtId="0" fontId="28" fillId="2" borderId="0" xfId="0" applyFont="1" applyFill="1"/>
    <xf numFmtId="0" fontId="15" fillId="2" borderId="0" xfId="0" applyFont="1" applyFill="1" applyAlignment="1">
      <alignment vertical="center"/>
    </xf>
    <xf numFmtId="165" fontId="8" fillId="2" borderId="2" xfId="3" applyFont="1" applyFill="1" applyBorder="1" applyAlignment="1">
      <alignment horizontal="center"/>
    </xf>
    <xf numFmtId="165" fontId="8" fillId="2" borderId="3" xfId="3" applyFont="1" applyFill="1" applyBorder="1" applyAlignment="1">
      <alignment horizontal="center"/>
    </xf>
    <xf numFmtId="164" fontId="14" fillId="2" borderId="31" xfId="0" applyNumberFormat="1" applyFont="1" applyFill="1" applyBorder="1"/>
    <xf numFmtId="164" fontId="8" fillId="2" borderId="6" xfId="5" applyFont="1" applyFill="1" applyBorder="1" applyAlignment="1">
      <alignment horizontal="center" vertical="center"/>
    </xf>
    <xf numFmtId="165" fontId="8" fillId="2" borderId="2" xfId="3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textRotation="35"/>
    </xf>
    <xf numFmtId="164" fontId="8" fillId="2" borderId="6" xfId="5" applyFont="1" applyFill="1" applyBorder="1" applyAlignment="1" applyProtection="1">
      <alignment horizontal="center" vertical="center"/>
      <protection locked="0"/>
    </xf>
    <xf numFmtId="0" fontId="22" fillId="2" borderId="0" xfId="0" applyFont="1" applyFill="1"/>
    <xf numFmtId="171" fontId="14" fillId="2" borderId="0" xfId="0" applyNumberFormat="1" applyFont="1" applyFill="1" applyAlignment="1">
      <alignment horizontal="center"/>
    </xf>
    <xf numFmtId="17" fontId="18" fillId="2" borderId="0" xfId="0" applyNumberFormat="1" applyFont="1" applyFill="1"/>
    <xf numFmtId="0" fontId="18" fillId="2" borderId="0" xfId="5" applyNumberFormat="1" applyFont="1" applyFill="1"/>
    <xf numFmtId="171" fontId="18" fillId="2" borderId="0" xfId="0" applyNumberFormat="1" applyFont="1" applyFill="1"/>
    <xf numFmtId="173" fontId="24" fillId="2" borderId="2" xfId="0" applyNumberFormat="1" applyFont="1" applyFill="1" applyBorder="1" applyAlignment="1">
      <alignment horizontal="left"/>
    </xf>
    <xf numFmtId="0" fontId="23" fillId="2" borderId="6" xfId="0" applyFont="1" applyFill="1" applyBorder="1" applyAlignment="1" applyProtection="1">
      <alignment vertical="center"/>
      <protection locked="0" hidden="1"/>
    </xf>
    <xf numFmtId="174" fontId="21" fillId="2" borderId="2" xfId="0" applyNumberFormat="1" applyFont="1" applyFill="1" applyBorder="1" applyAlignment="1">
      <alignment horizontal="left" vertical="center"/>
    </xf>
    <xf numFmtId="0" fontId="25" fillId="2" borderId="2" xfId="0" applyFont="1" applyFill="1" applyBorder="1"/>
    <xf numFmtId="0" fontId="24" fillId="2" borderId="3" xfId="0" applyFont="1" applyFill="1" applyBorder="1" applyAlignment="1">
      <alignment horizontal="center"/>
    </xf>
    <xf numFmtId="167" fontId="24" fillId="2" borderId="1" xfId="0" applyNumberFormat="1" applyFont="1" applyFill="1" applyBorder="1" applyAlignment="1">
      <alignment horizontal="left"/>
    </xf>
    <xf numFmtId="167" fontId="24" fillId="2" borderId="1" xfId="0" applyNumberFormat="1" applyFont="1" applyFill="1" applyBorder="1" applyAlignment="1">
      <alignment horizontal="center"/>
    </xf>
    <xf numFmtId="0" fontId="23" fillId="2" borderId="1" xfId="0" applyFont="1" applyFill="1" applyBorder="1" applyAlignment="1" applyProtection="1">
      <alignment vertical="center"/>
      <protection locked="0" hidden="1"/>
    </xf>
    <xf numFmtId="0" fontId="23" fillId="2" borderId="7" xfId="0" applyFont="1" applyFill="1" applyBorder="1" applyAlignment="1" applyProtection="1">
      <alignment vertical="center"/>
      <protection locked="0" hidden="1"/>
    </xf>
    <xf numFmtId="164" fontId="6" fillId="2" borderId="9" xfId="0" applyNumberFormat="1" applyFont="1" applyFill="1" applyBorder="1" applyAlignment="1">
      <alignment horizontal="center" vertical="center"/>
    </xf>
    <xf numFmtId="164" fontId="6" fillId="3" borderId="9" xfId="0" applyNumberFormat="1" applyFont="1" applyFill="1" applyBorder="1" applyAlignment="1">
      <alignment horizontal="right"/>
    </xf>
    <xf numFmtId="0" fontId="6" fillId="2" borderId="5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2" fillId="3" borderId="26" xfId="0" applyFont="1" applyFill="1" applyBorder="1"/>
    <xf numFmtId="0" fontId="12" fillId="3" borderId="23" xfId="0" applyFont="1" applyFill="1" applyBorder="1"/>
    <xf numFmtId="0" fontId="12" fillId="3" borderId="27" xfId="0" applyFont="1" applyFill="1" applyBorder="1"/>
    <xf numFmtId="0" fontId="13" fillId="3" borderId="2" xfId="0" applyFont="1" applyFill="1" applyBorder="1"/>
    <xf numFmtId="0" fontId="12" fillId="3" borderId="0" xfId="0" applyFont="1" applyFill="1"/>
    <xf numFmtId="0" fontId="12" fillId="3" borderId="6" xfId="0" applyFont="1" applyFill="1" applyBorder="1"/>
    <xf numFmtId="0" fontId="7" fillId="3" borderId="2" xfId="0" applyFont="1" applyFill="1" applyBorder="1"/>
    <xf numFmtId="0" fontId="12" fillId="3" borderId="2" xfId="0" applyFont="1" applyFill="1" applyBorder="1"/>
    <xf numFmtId="0" fontId="7" fillId="3" borderId="0" xfId="0" applyFont="1" applyFill="1"/>
    <xf numFmtId="0" fontId="7" fillId="3" borderId="6" xfId="0" applyFont="1" applyFill="1" applyBorder="1"/>
    <xf numFmtId="15" fontId="7" fillId="3" borderId="0" xfId="0" applyNumberFormat="1" applyFont="1" applyFill="1"/>
    <xf numFmtId="0" fontId="12" fillId="3" borderId="1" xfId="0" applyFont="1" applyFill="1" applyBorder="1"/>
    <xf numFmtId="0" fontId="12" fillId="3" borderId="7" xfId="0" applyFont="1" applyFill="1" applyBorder="1"/>
    <xf numFmtId="0" fontId="0" fillId="2" borderId="26" xfId="0" applyFill="1" applyBorder="1"/>
    <xf numFmtId="0" fontId="7" fillId="3" borderId="3" xfId="0" applyFont="1" applyFill="1" applyBorder="1"/>
    <xf numFmtId="15" fontId="7" fillId="3" borderId="1" xfId="0" applyNumberFormat="1" applyFont="1" applyFill="1" applyBorder="1"/>
    <xf numFmtId="0" fontId="14" fillId="2" borderId="26" xfId="0" applyFont="1" applyFill="1" applyBorder="1"/>
    <xf numFmtId="2" fontId="22" fillId="2" borderId="26" xfId="0" applyNumberFormat="1" applyFont="1" applyFill="1" applyBorder="1" applyAlignment="1">
      <alignment horizontal="left" vertical="center" indent="13"/>
    </xf>
    <xf numFmtId="0" fontId="27" fillId="2" borderId="3" xfId="0" applyFont="1" applyFill="1" applyBorder="1" applyAlignment="1" applyProtection="1">
      <alignment horizontal="left" vertical="center"/>
      <protection locked="0" hidden="1"/>
    </xf>
    <xf numFmtId="0" fontId="17" fillId="2" borderId="7" xfId="0" applyFont="1" applyFill="1" applyBorder="1" applyAlignment="1" applyProtection="1">
      <alignment vertical="center"/>
      <protection locked="0" hidden="1"/>
    </xf>
    <xf numFmtId="0" fontId="17" fillId="2" borderId="6" xfId="0" applyFont="1" applyFill="1" applyBorder="1" applyAlignment="1" applyProtection="1">
      <alignment vertical="center"/>
      <protection locked="0" hidden="1"/>
    </xf>
    <xf numFmtId="171" fontId="14" fillId="2" borderId="12" xfId="0" applyNumberFormat="1" applyFont="1" applyFill="1" applyBorder="1" applyAlignment="1" applyProtection="1">
      <alignment horizontal="left" vertical="center"/>
      <protection hidden="1"/>
    </xf>
    <xf numFmtId="164" fontId="14" fillId="2" borderId="10" xfId="5" applyFont="1" applyFill="1" applyBorder="1" applyAlignment="1">
      <alignment vertical="center"/>
    </xf>
    <xf numFmtId="38" fontId="14" fillId="2" borderId="10" xfId="5" applyNumberFormat="1" applyFont="1" applyFill="1" applyBorder="1" applyAlignment="1" applyProtection="1">
      <alignment vertical="center"/>
      <protection hidden="1"/>
    </xf>
    <xf numFmtId="164" fontId="23" fillId="2" borderId="10" xfId="5" applyFont="1" applyFill="1" applyBorder="1" applyAlignment="1">
      <alignment horizontal="center" vertical="center"/>
    </xf>
    <xf numFmtId="164" fontId="14" fillId="2" borderId="10" xfId="5" applyFont="1" applyFill="1" applyBorder="1" applyAlignment="1">
      <alignment horizontal="center"/>
    </xf>
    <xf numFmtId="164" fontId="14" fillId="2" borderId="10" xfId="5" applyFont="1" applyFill="1" applyBorder="1" applyAlignment="1" applyProtection="1">
      <alignment horizontal="center" vertical="center"/>
      <protection hidden="1"/>
    </xf>
    <xf numFmtId="164" fontId="14" fillId="2" borderId="32" xfId="5" applyFont="1" applyFill="1" applyBorder="1" applyAlignment="1" applyProtection="1">
      <alignment vertical="center"/>
      <protection hidden="1"/>
    </xf>
    <xf numFmtId="0" fontId="8" fillId="2" borderId="23" xfId="0" applyFont="1" applyFill="1" applyBorder="1"/>
    <xf numFmtId="164" fontId="6" fillId="2" borderId="1" xfId="5" applyFont="1" applyFill="1" applyBorder="1" applyAlignment="1" applyProtection="1">
      <alignment vertical="center"/>
      <protection hidden="1"/>
    </xf>
    <xf numFmtId="164" fontId="6" fillId="2" borderId="4" xfId="5" applyFont="1" applyFill="1" applyBorder="1" applyAlignment="1" applyProtection="1">
      <alignment horizontal="center" vertical="center"/>
      <protection hidden="1"/>
    </xf>
    <xf numFmtId="14" fontId="8" fillId="2" borderId="5" xfId="0" applyNumberFormat="1" applyFont="1" applyFill="1" applyBorder="1" applyAlignment="1">
      <alignment horizontal="left" vertical="center" indent="1"/>
    </xf>
    <xf numFmtId="0" fontId="12" fillId="6" borderId="0" xfId="0" applyFont="1" applyFill="1" applyAlignment="1">
      <alignment horizontal="center"/>
    </xf>
    <xf numFmtId="0" fontId="12" fillId="6" borderId="0" xfId="0" applyFont="1" applyFill="1"/>
    <xf numFmtId="14" fontId="8" fillId="2" borderId="14" xfId="0" applyNumberFormat="1" applyFont="1" applyFill="1" applyBorder="1" applyAlignment="1">
      <alignment horizontal="left" vertical="center" indent="1"/>
    </xf>
    <xf numFmtId="164" fontId="5" fillId="6" borderId="0" xfId="0" applyNumberFormat="1" applyFont="1" applyFill="1" applyAlignment="1">
      <alignment horizontal="center" vertical="center"/>
    </xf>
    <xf numFmtId="10" fontId="8" fillId="2" borderId="14" xfId="0" applyNumberFormat="1" applyFont="1" applyFill="1" applyBorder="1" applyAlignment="1">
      <alignment horizontal="left" vertical="center" indent="1"/>
    </xf>
    <xf numFmtId="14" fontId="9" fillId="2" borderId="0" xfId="0" applyNumberFormat="1" applyFont="1" applyFill="1" applyAlignment="1">
      <alignment horizontal="left" vertical="center"/>
    </xf>
    <xf numFmtId="10" fontId="14" fillId="2" borderId="6" xfId="4" applyNumberFormat="1" applyFont="1" applyFill="1" applyBorder="1" applyAlignment="1">
      <alignment horizontal="center" vertical="center"/>
    </xf>
    <xf numFmtId="164" fontId="14" fillId="2" borderId="28" xfId="0" applyNumberFormat="1" applyFont="1" applyFill="1" applyBorder="1" applyAlignment="1">
      <alignment horizontal="center" vertical="center"/>
    </xf>
    <xf numFmtId="14" fontId="26" fillId="2" borderId="0" xfId="0" applyNumberFormat="1" applyFont="1" applyFill="1" applyAlignment="1">
      <alignment horizontal="left" vertical="center"/>
    </xf>
    <xf numFmtId="0" fontId="27" fillId="5" borderId="9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169" fontId="8" fillId="2" borderId="9" xfId="4" applyNumberFormat="1" applyFont="1" applyFill="1" applyBorder="1" applyAlignment="1">
      <alignment horizontal="right" vertical="center"/>
    </xf>
    <xf numFmtId="15" fontId="14" fillId="2" borderId="2" xfId="0" applyNumberFormat="1" applyFont="1" applyFill="1" applyBorder="1"/>
    <xf numFmtId="176" fontId="14" fillId="2" borderId="0" xfId="0" applyNumberFormat="1" applyFont="1" applyFill="1"/>
    <xf numFmtId="164" fontId="14" fillId="2" borderId="0" xfId="0" applyNumberFormat="1" applyFont="1" applyFill="1"/>
    <xf numFmtId="10" fontId="14" fillId="2" borderId="18" xfId="4" applyNumberFormat="1" applyFont="1" applyFill="1" applyBorder="1" applyAlignment="1">
      <alignment vertical="center"/>
    </xf>
    <xf numFmtId="10" fontId="14" fillId="2" borderId="9" xfId="4" applyNumberFormat="1" applyFont="1" applyFill="1" applyBorder="1" applyAlignment="1">
      <alignment vertical="center"/>
    </xf>
    <xf numFmtId="0" fontId="8" fillId="9" borderId="17" xfId="0" applyFont="1" applyFill="1" applyBorder="1" applyAlignment="1">
      <alignment horizontal="center" vertical="center" wrapText="1"/>
    </xf>
    <xf numFmtId="164" fontId="8" fillId="0" borderId="9" xfId="5" applyFont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 wrapText="1"/>
    </xf>
    <xf numFmtId="0" fontId="8" fillId="10" borderId="16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/>
    </xf>
    <xf numFmtId="0" fontId="15" fillId="3" borderId="14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7" fillId="3" borderId="0" xfId="0" applyFont="1" applyFill="1" applyAlignment="1">
      <alignment horizontal="justify"/>
    </xf>
    <xf numFmtId="0" fontId="7" fillId="3" borderId="6" xfId="0" applyFont="1" applyFill="1" applyBorder="1" applyAlignment="1">
      <alignment horizontal="justify"/>
    </xf>
    <xf numFmtId="0" fontId="7" fillId="3" borderId="5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3" borderId="14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16" fillId="2" borderId="0" xfId="0" applyFont="1" applyFill="1" applyAlignment="1">
      <alignment horizontal="left" vertical="center"/>
    </xf>
    <xf numFmtId="167" fontId="5" fillId="8" borderId="39" xfId="0" applyNumberFormat="1" applyFont="1" applyFill="1" applyBorder="1" applyAlignment="1">
      <alignment horizontal="center" vertical="center"/>
    </xf>
    <xf numFmtId="167" fontId="5" fillId="8" borderId="40" xfId="0" applyNumberFormat="1" applyFont="1" applyFill="1" applyBorder="1" applyAlignment="1">
      <alignment horizontal="center" vertical="center"/>
    </xf>
    <xf numFmtId="167" fontId="5" fillId="7" borderId="39" xfId="0" applyNumberFormat="1" applyFont="1" applyFill="1" applyBorder="1" applyAlignment="1">
      <alignment horizontal="center"/>
    </xf>
    <xf numFmtId="167" fontId="5" fillId="7" borderId="40" xfId="0" applyNumberFormat="1" applyFont="1" applyFill="1" applyBorder="1" applyAlignment="1">
      <alignment horizontal="center"/>
    </xf>
    <xf numFmtId="167" fontId="5" fillId="7" borderId="41" xfId="0" applyNumberFormat="1" applyFont="1" applyFill="1" applyBorder="1" applyAlignment="1">
      <alignment horizontal="center"/>
    </xf>
    <xf numFmtId="167" fontId="5" fillId="5" borderId="39" xfId="0" applyNumberFormat="1" applyFont="1" applyFill="1" applyBorder="1" applyAlignment="1">
      <alignment horizontal="center" vertical="center"/>
    </xf>
    <xf numFmtId="167" fontId="5" fillId="5" borderId="40" xfId="0" applyNumberFormat="1" applyFont="1" applyFill="1" applyBorder="1" applyAlignment="1">
      <alignment horizontal="center" vertical="center"/>
    </xf>
    <xf numFmtId="167" fontId="5" fillId="5" borderId="41" xfId="0" applyNumberFormat="1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6" xfId="0" applyFont="1" applyFill="1" applyBorder="1" applyAlignment="1" applyProtection="1">
      <alignment horizontal="center" vertical="center" wrapText="1"/>
      <protection locked="0" hidden="1"/>
    </xf>
    <xf numFmtId="0" fontId="10" fillId="2" borderId="23" xfId="0" applyFont="1" applyFill="1" applyBorder="1" applyAlignment="1" applyProtection="1">
      <alignment horizontal="center" vertical="center" wrapText="1"/>
      <protection locked="0" hidden="1"/>
    </xf>
    <xf numFmtId="0" fontId="10" fillId="2" borderId="27" xfId="0" applyFont="1" applyFill="1" applyBorder="1" applyAlignment="1" applyProtection="1">
      <alignment horizontal="center" vertical="center" wrapText="1"/>
      <protection locked="0" hidden="1"/>
    </xf>
    <xf numFmtId="0" fontId="10" fillId="2" borderId="2" xfId="0" applyFont="1" applyFill="1" applyBorder="1" applyAlignment="1" applyProtection="1">
      <alignment horizontal="center" vertical="center" wrapText="1"/>
      <protection locked="0" hidden="1"/>
    </xf>
    <xf numFmtId="0" fontId="10" fillId="2" borderId="0" xfId="0" applyFont="1" applyFill="1" applyAlignment="1" applyProtection="1">
      <alignment horizontal="center" vertical="center" wrapText="1"/>
      <protection locked="0" hidden="1"/>
    </xf>
    <xf numFmtId="0" fontId="10" fillId="2" borderId="6" xfId="0" applyFont="1" applyFill="1" applyBorder="1" applyAlignment="1" applyProtection="1">
      <alignment horizontal="center" vertical="center" wrapText="1"/>
      <protection locked="0" hidden="1"/>
    </xf>
    <xf numFmtId="0" fontId="10" fillId="2" borderId="26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8" fillId="2" borderId="42" xfId="0" applyFont="1" applyFill="1" applyBorder="1" applyAlignment="1" applyProtection="1">
      <alignment horizontal="center" vertical="center"/>
      <protection locked="0" hidden="1"/>
    </xf>
    <xf numFmtId="0" fontId="8" fillId="2" borderId="43" xfId="0" applyFont="1" applyFill="1" applyBorder="1" applyAlignment="1" applyProtection="1">
      <alignment horizontal="center" vertical="center"/>
      <protection locked="0" hidden="1"/>
    </xf>
    <xf numFmtId="0" fontId="8" fillId="2" borderId="44" xfId="0" applyFont="1" applyFill="1" applyBorder="1" applyAlignment="1" applyProtection="1">
      <alignment horizontal="center" vertical="center"/>
      <protection locked="0" hidden="1"/>
    </xf>
    <xf numFmtId="0" fontId="8" fillId="2" borderId="9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14" fontId="8" fillId="2" borderId="9" xfId="0" applyNumberFormat="1" applyFont="1" applyFill="1" applyBorder="1" applyAlignment="1">
      <alignment horizontal="left" vertical="center" indent="1"/>
    </xf>
    <xf numFmtId="14" fontId="8" fillId="2" borderId="5" xfId="0" applyNumberFormat="1" applyFont="1" applyFill="1" applyBorder="1" applyAlignment="1">
      <alignment horizontal="left" vertical="center" indent="1"/>
    </xf>
    <xf numFmtId="0" fontId="10" fillId="2" borderId="26" xfId="0" applyFont="1" applyFill="1" applyBorder="1" applyAlignment="1" applyProtection="1">
      <alignment horizontal="center" vertical="center"/>
      <protection locked="0" hidden="1"/>
    </xf>
    <xf numFmtId="0" fontId="19" fillId="2" borderId="23" xfId="0" applyFont="1" applyFill="1" applyBorder="1" applyAlignment="1">
      <alignment horizontal="center" vertical="center"/>
    </xf>
    <xf numFmtId="0" fontId="19" fillId="2" borderId="27" xfId="0" applyFont="1" applyFill="1" applyBorder="1" applyAlignment="1">
      <alignment horizontal="center" vertical="center"/>
    </xf>
    <xf numFmtId="0" fontId="24" fillId="2" borderId="1" xfId="0" applyFont="1" applyFill="1" applyBorder="1" applyAlignment="1" applyProtection="1">
      <alignment horizontal="center" vertical="center"/>
      <protection locked="0" hidden="1"/>
    </xf>
    <xf numFmtId="0" fontId="23" fillId="2" borderId="1" xfId="0" applyFont="1" applyFill="1" applyBorder="1" applyAlignment="1">
      <alignment horizontal="center" vertical="center"/>
    </xf>
    <xf numFmtId="0" fontId="27" fillId="2" borderId="45" xfId="0" applyFont="1" applyFill="1" applyBorder="1" applyAlignment="1" applyProtection="1">
      <alignment horizontal="center" vertical="center"/>
      <protection locked="0" hidden="1"/>
    </xf>
    <xf numFmtId="0" fontId="27" fillId="2" borderId="30" xfId="0" applyFont="1" applyFill="1" applyBorder="1" applyAlignment="1" applyProtection="1">
      <alignment horizontal="center" vertical="center"/>
      <protection locked="0" hidden="1"/>
    </xf>
    <xf numFmtId="0" fontId="8" fillId="2" borderId="26" xfId="0" applyFont="1" applyFill="1" applyBorder="1" applyAlignment="1">
      <alignment horizontal="left" vertical="center" indent="1"/>
    </xf>
    <xf numFmtId="0" fontId="14" fillId="2" borderId="23" xfId="0" applyFont="1" applyFill="1" applyBorder="1" applyAlignment="1">
      <alignment horizontal="left" vertical="center" indent="1"/>
    </xf>
    <xf numFmtId="0" fontId="24" fillId="2" borderId="23" xfId="0" applyFont="1" applyFill="1" applyBorder="1" applyAlignment="1">
      <alignment vertical="center"/>
    </xf>
    <xf numFmtId="0" fontId="14" fillId="2" borderId="27" xfId="0" applyFont="1" applyFill="1" applyBorder="1" applyAlignment="1">
      <alignment vertical="center"/>
    </xf>
    <xf numFmtId="164" fontId="7" fillId="3" borderId="5" xfId="5" applyFont="1" applyFill="1" applyBorder="1" applyAlignment="1" applyProtection="1">
      <alignment horizontal="center" vertical="center"/>
      <protection locked="0"/>
    </xf>
    <xf numFmtId="164" fontId="7" fillId="3" borderId="14" xfId="5" applyFont="1" applyFill="1" applyBorder="1" applyAlignment="1" applyProtection="1">
      <alignment horizontal="center" vertical="center"/>
      <protection locked="0"/>
    </xf>
    <xf numFmtId="164" fontId="7" fillId="3" borderId="4" xfId="5" applyFont="1" applyFill="1" applyBorder="1" applyAlignment="1" applyProtection="1">
      <alignment horizontal="center" vertical="center"/>
      <protection locked="0"/>
    </xf>
    <xf numFmtId="0" fontId="8" fillId="2" borderId="5" xfId="0" applyFont="1" applyFill="1" applyBorder="1" applyAlignment="1">
      <alignment horizontal="left" indent="1"/>
    </xf>
    <xf numFmtId="0" fontId="8" fillId="2" borderId="14" xfId="0" applyFont="1" applyFill="1" applyBorder="1" applyAlignment="1">
      <alignment horizontal="left" indent="1"/>
    </xf>
    <xf numFmtId="164" fontId="8" fillId="2" borderId="5" xfId="5" applyFont="1" applyFill="1" applyBorder="1" applyAlignment="1" applyProtection="1">
      <alignment horizontal="center" vertical="center"/>
      <protection locked="0"/>
    </xf>
    <xf numFmtId="164" fontId="8" fillId="2" borderId="14" xfId="5" applyFont="1" applyFill="1" applyBorder="1" applyAlignment="1" applyProtection="1">
      <alignment horizontal="center" vertical="center"/>
      <protection locked="0"/>
    </xf>
    <xf numFmtId="164" fontId="8" fillId="2" borderId="4" xfId="5" applyFont="1" applyFill="1" applyBorder="1" applyAlignment="1" applyProtection="1">
      <alignment horizontal="center" vertical="center"/>
      <protection locked="0"/>
    </xf>
    <xf numFmtId="0" fontId="8" fillId="3" borderId="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8" fillId="2" borderId="27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left" indent="1"/>
    </xf>
    <xf numFmtId="0" fontId="8" fillId="2" borderId="5" xfId="0" applyFont="1" applyFill="1" applyBorder="1" applyAlignment="1">
      <alignment horizontal="left" vertical="center" indent="1"/>
    </xf>
    <xf numFmtId="0" fontId="14" fillId="2" borderId="14" xfId="0" applyFont="1" applyFill="1" applyBorder="1" applyAlignment="1">
      <alignment horizontal="left" vertical="center" indent="1"/>
    </xf>
    <xf numFmtId="0" fontId="10" fillId="2" borderId="26" xfId="0" applyFont="1" applyFill="1" applyBorder="1" applyAlignment="1">
      <alignment horizontal="center"/>
    </xf>
    <xf numFmtId="0" fontId="19" fillId="2" borderId="23" xfId="0" applyFont="1" applyFill="1" applyBorder="1" applyAlignment="1">
      <alignment horizontal="center"/>
    </xf>
    <xf numFmtId="0" fontId="19" fillId="2" borderId="27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24" fillId="2" borderId="14" xfId="0" applyFont="1" applyFill="1" applyBorder="1" applyAlignment="1">
      <alignment vertical="center"/>
    </xf>
    <xf numFmtId="0" fontId="14" fillId="2" borderId="4" xfId="0" applyFont="1" applyFill="1" applyBorder="1" applyAlignment="1">
      <alignment vertical="center"/>
    </xf>
  </cellXfs>
  <cellStyles count="7">
    <cellStyle name="Euro" xfId="1" xr:uid="{00000000-0005-0000-0000-000000000000}"/>
    <cellStyle name="Followed Hyperlink" xfId="2" xr:uid="{00000000-0005-0000-0000-000001000000}"/>
    <cellStyle name="Moeda" xfId="3" builtinId="4"/>
    <cellStyle name="Normal" xfId="0" builtinId="0"/>
    <cellStyle name="Porcentagem" xfId="4" builtinId="5"/>
    <cellStyle name="Separador de milꚌares_8905-3" xfId="6" xr:uid="{00000000-0005-0000-0000-000005000000}"/>
    <cellStyle name="Vírgula" xfId="5" builtinId="3"/>
  </cellStyles>
  <dxfs count="9"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2"/>
      </font>
      <fill>
        <patternFill>
          <bgColor indexed="42"/>
        </patternFill>
      </fill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2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2"/>
      </font>
      <fill>
        <patternFill>
          <bgColor indexed="26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48"/>
      </font>
      <fill>
        <patternFill>
          <bgColor indexed="26"/>
        </patternFill>
      </fill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microsoft.com/office/2006/relationships/attachedToolbars" Target="attachedToolbars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J$2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22</xdr:row>
      <xdr:rowOff>57150</xdr:rowOff>
    </xdr:from>
    <xdr:to>
      <xdr:col>6</xdr:col>
      <xdr:colOff>847725</xdr:colOff>
      <xdr:row>64</xdr:row>
      <xdr:rowOff>152400</xdr:rowOff>
    </xdr:to>
    <xdr:sp macro="" textlink="">
      <xdr:nvSpPr>
        <xdr:cNvPr id="173057" name="Caixa de Texto 1">
          <a:extLst>
            <a:ext uri="{FF2B5EF4-FFF2-40B4-BE49-F238E27FC236}">
              <a16:creationId xmlns:a16="http://schemas.microsoft.com/office/drawing/2014/main" id="{00000000-0008-0000-0100-000001A40200}"/>
            </a:ext>
          </a:extLst>
        </xdr:cNvPr>
        <xdr:cNvSpPr txBox="1">
          <a:spLocks noChangeArrowheads="1"/>
        </xdr:cNvSpPr>
      </xdr:nvSpPr>
      <xdr:spPr bwMode="auto">
        <a:xfrm>
          <a:off x="19050" y="4924425"/>
          <a:ext cx="7981950" cy="6896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just" rtl="0">
            <a:defRPr sz="1000"/>
          </a:pPr>
          <a:endParaRPr lang="pt-BR"/>
        </a:p>
      </xdr:txBody>
    </xdr:sp>
    <xdr:clientData/>
  </xdr:twoCellAnchor>
  <xdr:twoCellAnchor>
    <xdr:from>
      <xdr:col>0</xdr:col>
      <xdr:colOff>19050</xdr:colOff>
      <xdr:row>68</xdr:row>
      <xdr:rowOff>95250</xdr:rowOff>
    </xdr:from>
    <xdr:to>
      <xdr:col>6</xdr:col>
      <xdr:colOff>847725</xdr:colOff>
      <xdr:row>101</xdr:row>
      <xdr:rowOff>123825</xdr:rowOff>
    </xdr:to>
    <xdr:sp macro="" textlink="">
      <xdr:nvSpPr>
        <xdr:cNvPr id="173058" name="Caixa de Texto 2">
          <a:extLst>
            <a:ext uri="{FF2B5EF4-FFF2-40B4-BE49-F238E27FC236}">
              <a16:creationId xmlns:a16="http://schemas.microsoft.com/office/drawing/2014/main" id="{00000000-0008-0000-0100-000002A40200}"/>
            </a:ext>
          </a:extLst>
        </xdr:cNvPr>
        <xdr:cNvSpPr txBox="1">
          <a:spLocks noChangeArrowheads="1"/>
        </xdr:cNvSpPr>
      </xdr:nvSpPr>
      <xdr:spPr bwMode="auto">
        <a:xfrm>
          <a:off x="19050" y="12563475"/>
          <a:ext cx="7981950" cy="537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just" rtl="0">
            <a:defRPr sz="1000"/>
          </a:pPr>
          <a:endParaRPr lang="pt-BR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87</xdr:row>
      <xdr:rowOff>0</xdr:rowOff>
    </xdr:from>
    <xdr:to>
      <xdr:col>23</xdr:col>
      <xdr:colOff>0</xdr:colOff>
      <xdr:row>87</xdr:row>
      <xdr:rowOff>0</xdr:rowOff>
    </xdr:to>
    <xdr:sp macro="" textlink="">
      <xdr:nvSpPr>
        <xdr:cNvPr id="175105" name="Caixa de Texto 1">
          <a:extLst>
            <a:ext uri="{FF2B5EF4-FFF2-40B4-BE49-F238E27FC236}">
              <a16:creationId xmlns:a16="http://schemas.microsoft.com/office/drawing/2014/main" id="{00000000-0008-0000-0600-000001AC0200}"/>
            </a:ext>
          </a:extLst>
        </xdr:cNvPr>
        <xdr:cNvSpPr txBox="1">
          <a:spLocks noChangeArrowheads="1"/>
        </xdr:cNvSpPr>
      </xdr:nvSpPr>
      <xdr:spPr bwMode="auto">
        <a:xfrm>
          <a:off x="47625" y="14430375"/>
          <a:ext cx="1805940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PARA ENCONTRAR A ALÍQUOTA DE INCIDÊNCIA DO INSS FOI SOMADO O TOTAL DOS PROVENTOS DA FOLHA DE PAGAMENTO MÊS A MÊS </a:t>
          </a: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(ENGLOBANDO AS VERBAS PAGAS NA COLUNA "TOTAL PROVENTOS FOLHA" MAIS AS VERBAS DEFERIDAS)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</a:t>
          </a:r>
        </a:p>
        <a:p>
          <a:pPr algn="just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APÓS O PROCEDIMENTO DESCRITO ACIMA, A BASE DE CÁLCULO </a:t>
          </a: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(COMPOSTA PELAS VERBAS DEFERIDAS)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FOI MULTIPLICADA PELA ALÍQUOTA CORRESPONDENTE DO MÊS, ENCONTRANDO O VALOR TOTAL DE CONTRIBUIÇÕES SOBRE AS VERBAS DEFERIDAS;</a:t>
          </a:r>
        </a:p>
        <a:p>
          <a:pPr algn="just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C)EM SEGUIDA, O TOTAL DAS CONTRIBUIÇÕES SOBRE AS VERBAS DEFERIDAS FOI SOMADO AO INSS RETIDO EM FOLHA, A FIM DE  ENCONTRAR-SE O TOTAL DE INSS DEVIDO;</a:t>
          </a:r>
        </a:p>
        <a:p>
          <a:pPr algn="just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A COLUNA  "CONTRIBUIÇÃO MÁXIMA" SE REFERE AO LIMITE MÁXIMO DA CONTRIBUIÇÃO DO EMPREGADO.</a:t>
          </a:r>
        </a:p>
        <a:p>
          <a:pPr algn="just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E) O VALOR A RECOLHER É  IGUAL AO VALOR TOTAL DEVIDO, RESPEITADO O LIMITE MÁXIMO, CONSIDERANDO O MENOR DELES, MENOS O VALOR ANTERIORMENTE DESCONTADO.  </a:t>
          </a:r>
        </a:p>
        <a:p>
          <a:pPr algn="just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F) OS PROCEDIMENTOS RELATIVOS À APURAÇÃO DAS CONTRIBUIÇÕES PREVIDENCIÁRIAS DECORRENTES DE VALORES PAGOS EM AÇÕES TRABALHISTAS, ENCONTRAM-SE ATUALMENTE DISCIPLINADOS PELA ORDEM DE SERVIÇO CONJUNTA Nº 66, DE 10/10/97, DOS DIRETORES DE ARRECADAÇÃO E FISCALIZAÇÃO E DO SEGURO SOCIAL DO INSTITUTO NACIONAL DE SEGURO SOCIAL </a:t>
          </a: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(INSS)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just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G)  O TOTAL DEVIDO MENOS O INSS RETIDO EM FOLHA É IGUAL AO VALOR A RECOLHER.</a:t>
          </a:r>
        </a:p>
        <a:p>
          <a:pPr algn="just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142875</xdr:rowOff>
    </xdr:from>
    <xdr:to>
      <xdr:col>1</xdr:col>
      <xdr:colOff>76200</xdr:colOff>
      <xdr:row>2</xdr:row>
      <xdr:rowOff>85725</xdr:rowOff>
    </xdr:to>
    <xdr:sp macro="" textlink="">
      <xdr:nvSpPr>
        <xdr:cNvPr id="175114" name="Caixa de Texto 2">
          <a:extLst>
            <a:ext uri="{FF2B5EF4-FFF2-40B4-BE49-F238E27FC236}">
              <a16:creationId xmlns:a16="http://schemas.microsoft.com/office/drawing/2014/main" id="{00000000-0008-0000-0600-00000AAC0200}"/>
            </a:ext>
          </a:extLst>
        </xdr:cNvPr>
        <xdr:cNvSpPr txBox="1">
          <a:spLocks noChangeArrowheads="1"/>
        </xdr:cNvSpPr>
      </xdr:nvSpPr>
      <xdr:spPr bwMode="auto">
        <a:xfrm>
          <a:off x="895350" y="285750"/>
          <a:ext cx="76200" cy="2000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CC" mc:Ignorable="a14" a14:legacySpreadsheetColorIndex="26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0</xdr:colOff>
      <xdr:row>5</xdr:row>
      <xdr:rowOff>57150</xdr:rowOff>
    </xdr:from>
    <xdr:to>
      <xdr:col>1</xdr:col>
      <xdr:colOff>0</xdr:colOff>
      <xdr:row>6</xdr:row>
      <xdr:rowOff>0</xdr:rowOff>
    </xdr:to>
    <xdr:sp macro="" textlink="">
      <xdr:nvSpPr>
        <xdr:cNvPr id="175115" name="Linha 3">
          <a:extLst>
            <a:ext uri="{FF2B5EF4-FFF2-40B4-BE49-F238E27FC236}">
              <a16:creationId xmlns:a16="http://schemas.microsoft.com/office/drawing/2014/main" id="{00000000-0008-0000-0600-00000BAC0200}"/>
            </a:ext>
          </a:extLst>
        </xdr:cNvPr>
        <xdr:cNvSpPr>
          <a:spLocks noChangeShapeType="1"/>
        </xdr:cNvSpPr>
      </xdr:nvSpPr>
      <xdr:spPr bwMode="auto">
        <a:xfrm flipH="1" flipV="1">
          <a:off x="895350" y="904875"/>
          <a:ext cx="0" cy="85725"/>
        </a:xfrm>
        <a:prstGeom prst="lin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 type="triangl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0</xdr:colOff>
      <xdr:row>5</xdr:row>
      <xdr:rowOff>66675</xdr:rowOff>
    </xdr:from>
    <xdr:to>
      <xdr:col>1</xdr:col>
      <xdr:colOff>0</xdr:colOff>
      <xdr:row>6</xdr:row>
      <xdr:rowOff>0</xdr:rowOff>
    </xdr:to>
    <xdr:sp macro="" textlink="">
      <xdr:nvSpPr>
        <xdr:cNvPr id="175116" name="Linha 4">
          <a:extLst>
            <a:ext uri="{FF2B5EF4-FFF2-40B4-BE49-F238E27FC236}">
              <a16:creationId xmlns:a16="http://schemas.microsoft.com/office/drawing/2014/main" id="{00000000-0008-0000-0600-00000CAC0200}"/>
            </a:ext>
          </a:extLst>
        </xdr:cNvPr>
        <xdr:cNvSpPr>
          <a:spLocks noChangeShapeType="1"/>
        </xdr:cNvSpPr>
      </xdr:nvSpPr>
      <xdr:spPr bwMode="auto">
        <a:xfrm flipV="1">
          <a:off x="895350" y="914400"/>
          <a:ext cx="0" cy="76200"/>
        </a:xfrm>
        <a:prstGeom prst="lin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 type="triangl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0</xdr:colOff>
      <xdr:row>5</xdr:row>
      <xdr:rowOff>66675</xdr:rowOff>
    </xdr:from>
    <xdr:to>
      <xdr:col>1</xdr:col>
      <xdr:colOff>0</xdr:colOff>
      <xdr:row>6</xdr:row>
      <xdr:rowOff>0</xdr:rowOff>
    </xdr:to>
    <xdr:sp macro="" textlink="">
      <xdr:nvSpPr>
        <xdr:cNvPr id="175117" name="Linha 5">
          <a:extLst>
            <a:ext uri="{FF2B5EF4-FFF2-40B4-BE49-F238E27FC236}">
              <a16:creationId xmlns:a16="http://schemas.microsoft.com/office/drawing/2014/main" id="{00000000-0008-0000-0600-00000DAC0200}"/>
            </a:ext>
          </a:extLst>
        </xdr:cNvPr>
        <xdr:cNvSpPr>
          <a:spLocks noChangeShapeType="1"/>
        </xdr:cNvSpPr>
      </xdr:nvSpPr>
      <xdr:spPr bwMode="auto">
        <a:xfrm flipV="1">
          <a:off x="895350" y="914400"/>
          <a:ext cx="0" cy="76200"/>
        </a:xfrm>
        <a:prstGeom prst="lin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 type="triangl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0</xdr:colOff>
      <xdr:row>5</xdr:row>
      <xdr:rowOff>66675</xdr:rowOff>
    </xdr:from>
    <xdr:to>
      <xdr:col>1</xdr:col>
      <xdr:colOff>0</xdr:colOff>
      <xdr:row>6</xdr:row>
      <xdr:rowOff>0</xdr:rowOff>
    </xdr:to>
    <xdr:sp macro="" textlink="">
      <xdr:nvSpPr>
        <xdr:cNvPr id="175118" name="Linha 6">
          <a:extLst>
            <a:ext uri="{FF2B5EF4-FFF2-40B4-BE49-F238E27FC236}">
              <a16:creationId xmlns:a16="http://schemas.microsoft.com/office/drawing/2014/main" id="{00000000-0008-0000-0600-00000EAC0200}"/>
            </a:ext>
          </a:extLst>
        </xdr:cNvPr>
        <xdr:cNvSpPr>
          <a:spLocks noChangeShapeType="1"/>
        </xdr:cNvSpPr>
      </xdr:nvSpPr>
      <xdr:spPr bwMode="auto">
        <a:xfrm flipV="1">
          <a:off x="895350" y="914400"/>
          <a:ext cx="0" cy="76200"/>
        </a:xfrm>
        <a:prstGeom prst="lin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 type="triangl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0</xdr:colOff>
      <xdr:row>5</xdr:row>
      <xdr:rowOff>66675</xdr:rowOff>
    </xdr:from>
    <xdr:to>
      <xdr:col>1</xdr:col>
      <xdr:colOff>0</xdr:colOff>
      <xdr:row>6</xdr:row>
      <xdr:rowOff>0</xdr:rowOff>
    </xdr:to>
    <xdr:sp macro="" textlink="">
      <xdr:nvSpPr>
        <xdr:cNvPr id="175119" name="Linha 7">
          <a:extLst>
            <a:ext uri="{FF2B5EF4-FFF2-40B4-BE49-F238E27FC236}">
              <a16:creationId xmlns:a16="http://schemas.microsoft.com/office/drawing/2014/main" id="{00000000-0008-0000-0600-00000FAC0200}"/>
            </a:ext>
          </a:extLst>
        </xdr:cNvPr>
        <xdr:cNvSpPr>
          <a:spLocks noChangeShapeType="1"/>
        </xdr:cNvSpPr>
      </xdr:nvSpPr>
      <xdr:spPr bwMode="auto">
        <a:xfrm flipV="1">
          <a:off x="895350" y="914400"/>
          <a:ext cx="0" cy="76200"/>
        </a:xfrm>
        <a:prstGeom prst="lin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 type="triangl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0</xdr:colOff>
      <xdr:row>5</xdr:row>
      <xdr:rowOff>66675</xdr:rowOff>
    </xdr:from>
    <xdr:to>
      <xdr:col>1</xdr:col>
      <xdr:colOff>0</xdr:colOff>
      <xdr:row>6</xdr:row>
      <xdr:rowOff>0</xdr:rowOff>
    </xdr:to>
    <xdr:sp macro="" textlink="">
      <xdr:nvSpPr>
        <xdr:cNvPr id="175120" name="Linha 8">
          <a:extLst>
            <a:ext uri="{FF2B5EF4-FFF2-40B4-BE49-F238E27FC236}">
              <a16:creationId xmlns:a16="http://schemas.microsoft.com/office/drawing/2014/main" id="{00000000-0008-0000-0600-000010AC0200}"/>
            </a:ext>
          </a:extLst>
        </xdr:cNvPr>
        <xdr:cNvSpPr>
          <a:spLocks noChangeShapeType="1"/>
        </xdr:cNvSpPr>
      </xdr:nvSpPr>
      <xdr:spPr bwMode="auto">
        <a:xfrm flipV="1">
          <a:off x="895350" y="914400"/>
          <a:ext cx="0" cy="76200"/>
        </a:xfrm>
        <a:prstGeom prst="lin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 type="triangl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83820</xdr:rowOff>
        </xdr:from>
        <xdr:to>
          <xdr:col>2</xdr:col>
          <xdr:colOff>220980</xdr:colOff>
          <xdr:row>3</xdr:row>
          <xdr:rowOff>175260</xdr:rowOff>
        </xdr:to>
        <xdr:sp macro="" textlink="">
          <xdr:nvSpPr>
            <xdr:cNvPr id="171010" name="Check Box 2" hidden="1">
              <a:extLst>
                <a:ext uri="{63B3BB69-23CF-44E3-9099-C40C66FF867C}">
                  <a14:compatExt spid="_x0000_s171010"/>
                </a:ext>
                <a:ext uri="{FF2B5EF4-FFF2-40B4-BE49-F238E27FC236}">
                  <a16:creationId xmlns:a16="http://schemas.microsoft.com/office/drawing/2014/main" id="{00000000-0008-0000-0800-000002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76200" cmpd="tri">
              <a:solidFill>
                <a:srgbClr val="0000FF" mc:Ignorable="a14" a14:legacySpreadsheetColorIndex="39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CC" mc:Ignorable="a14" a14:legacySpreadsheetColorIndex="26"/>
                  </a:solidFill>
                </a14:hiddenFill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INSERE PROVENTOS?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388620</xdr:colOff>
          <xdr:row>2</xdr:row>
          <xdr:rowOff>22860</xdr:rowOff>
        </xdr:from>
        <xdr:to>
          <xdr:col>4</xdr:col>
          <xdr:colOff>716280</xdr:colOff>
          <xdr:row>3</xdr:row>
          <xdr:rowOff>160020</xdr:rowOff>
        </xdr:to>
        <xdr:sp macro="" textlink="">
          <xdr:nvSpPr>
            <xdr:cNvPr id="171011" name="Button 3" hidden="1">
              <a:extLst>
                <a:ext uri="{63B3BB69-23CF-44E3-9099-C40C66FF867C}">
                  <a14:compatExt spid="_x0000_s171011"/>
                </a:ext>
                <a:ext uri="{FF2B5EF4-FFF2-40B4-BE49-F238E27FC236}">
                  <a16:creationId xmlns:a16="http://schemas.microsoft.com/office/drawing/2014/main" id="{00000000-0008-0000-0800-000003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Reexibir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0</xdr:row>
          <xdr:rowOff>0</xdr:rowOff>
        </xdr:from>
        <xdr:to>
          <xdr:col>5</xdr:col>
          <xdr:colOff>30480</xdr:colOff>
          <xdr:row>1</xdr:row>
          <xdr:rowOff>106680</xdr:rowOff>
        </xdr:to>
        <xdr:sp macro="" textlink="">
          <xdr:nvSpPr>
            <xdr:cNvPr id="171012" name="Button 4" hidden="1">
              <a:extLst>
                <a:ext uri="{63B3BB69-23CF-44E3-9099-C40C66FF867C}">
                  <a14:compatExt spid="_x0000_s171012"/>
                </a:ext>
                <a:ext uri="{FF2B5EF4-FFF2-40B4-BE49-F238E27FC236}">
                  <a16:creationId xmlns:a16="http://schemas.microsoft.com/office/drawing/2014/main" id="{00000000-0008-0000-0800-000004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Ocultar linhas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lian\msoffice\C&#225;lculos\Modelos%20de%20C&#225;lculos\msoffice\Excel\C&#225;lculos\Modelos%20c&#225;lculos\MODCAL4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lian\msoffice\C&#225;lculos\Modelos%20de%20C&#225;lculos\MODCAL4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lian\msoffice\C&#225;lculos\Modelos%20de%20C&#225;lculos\msoffice\Excel\C&#225;lculos\Modelos%20c&#225;lculos\mod_inssm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lian\msoffice\C&#225;lculos\Modelos%20de%20C&#225;lculos\mod_inssm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lian\msoffice\C&#225;lculos\Modelos%20de%20C&#225;lculos\PLANILHA%20DE%20C&#193;LCULO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GC\SYS\desen\nota\Gen98%2309\GEN96%23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lian\msoffice\C&#225;lculos\Modelos%20de%20C&#225;lculos\msoffice\Excel\C&#225;lculos\Modelos%20c&#225;lculos\MODCAL4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lian\msoffice\C&#225;lculos\Modelos%20de%20C&#225;lculos\MODCAL4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lian\msoffice\C&#225;lculos\Modelos%20de%20C&#225;lculos\msoffice\Excel\C&#225;lculos\Modelos%20c&#225;lculos\Tab05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mens"/>
      <sheetName val="Inicio"/>
      <sheetName val="datas"/>
      <sheetName val="partes"/>
      <sheetName val="cont"/>
      <sheetName val="contr"/>
      <sheetName val="d"/>
      <sheetName val="dados_aux"/>
      <sheetName val="cad_jcj"/>
      <sheetName val="FOLHA"/>
      <sheetName val="Resumo"/>
      <sheetName val="Evolução"/>
      <sheetName val="conversão_he"/>
      <sheetName val="HE_SEG_SAB"/>
      <sheetName val="R_HE_SEG_SAB"/>
      <sheetName val="HE DOMFER)"/>
      <sheetName val="REF_HE_DOM_FER"/>
      <sheetName val="Resc"/>
      <sheetName val="seg_des"/>
      <sheetName val="Ad_nt"/>
      <sheetName val="Ref_adnt"/>
      <sheetName val="Dev"/>
      <sheetName val="COMISSÕES"/>
      <sheetName val="REF_COM"/>
      <sheetName val="insal"/>
      <sheetName val="ref_insal"/>
      <sheetName val="Dif_sal"/>
      <sheetName val="Ref_difsal"/>
      <sheetName val="FGTS"/>
      <sheetName val="IRRF"/>
      <sheetName val="IRF_RESC"/>
      <sheetName val="BASE_INSS_SEG"/>
      <sheetName val="CALC_INSS_SEG"/>
      <sheetName val="INSS RESCISÓRIA"/>
      <sheetName val="inss_empres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8">
          <cell r="E8" t="str">
            <v>João dos Santos</v>
          </cell>
        </row>
        <row r="10">
          <cell r="E10" t="str">
            <v>044 218-1921</v>
          </cell>
        </row>
        <row r="12">
          <cell r="E12" t="str">
            <v>Maringá - Paraná</v>
          </cell>
        </row>
        <row r="17">
          <cell r="D17" t="b">
            <v>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5">
          <cell r="A5">
            <v>34015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mens"/>
      <sheetName val="Inicio"/>
      <sheetName val="datas"/>
      <sheetName val="partes"/>
      <sheetName val="cont"/>
      <sheetName val="contr"/>
      <sheetName val="d"/>
      <sheetName val="dados_aux"/>
      <sheetName val="cad_jcj"/>
      <sheetName val="FOLHA"/>
      <sheetName val="Resumo"/>
      <sheetName val="Evolução"/>
      <sheetName val="conversão_he"/>
      <sheetName val="HE_SEG_SAB"/>
      <sheetName val="R_HE_SEG_SAB"/>
      <sheetName val="HE DOMFER)"/>
      <sheetName val="REF_HE_DOM_FER"/>
      <sheetName val="Resc"/>
      <sheetName val="seg_des"/>
      <sheetName val="Ad_nt"/>
      <sheetName val="Ref_adnt"/>
      <sheetName val="Dev"/>
      <sheetName val="COMISSÕES"/>
      <sheetName val="REF_COM"/>
      <sheetName val="insal"/>
      <sheetName val="ref_insal"/>
      <sheetName val="Dif_sal"/>
      <sheetName val="Ref_difsal"/>
      <sheetName val="FGTS"/>
      <sheetName val="IRRF"/>
      <sheetName val="IRF_RESC"/>
      <sheetName val="BASE_INSS_SEG"/>
      <sheetName val="CALC_INSS_SEG"/>
      <sheetName val="INSS RESCISÓRIA"/>
      <sheetName val="inss_empres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8">
          <cell r="E8" t="str">
            <v>João dos Santos</v>
          </cell>
        </row>
        <row r="10">
          <cell r="E10" t="str">
            <v>044 218-1921</v>
          </cell>
        </row>
        <row r="12">
          <cell r="E12" t="str">
            <v>Maringá - Paraná</v>
          </cell>
        </row>
        <row r="17">
          <cell r="D17" t="b">
            <v>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5">
          <cell r="A5">
            <v>34015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Resumo"/>
      <sheetName val="Evolução"/>
      <sheetName val="HE (1)"/>
      <sheetName val="Ref_HE(1)"/>
      <sheetName val="HE (2)"/>
      <sheetName val="Ref_HE(2)"/>
      <sheetName val="HE (3)"/>
      <sheetName val="Ref_HE(3)"/>
      <sheetName val="Rescisórias"/>
      <sheetName val="Adic_not"/>
      <sheetName val="Ref_adic_nt"/>
      <sheetName val="Devolução"/>
      <sheetName val="Dif_sal"/>
      <sheetName val="Ref_difsal"/>
      <sheetName val="FGTS_INSS_IRRF"/>
      <sheetName val="INSS_MES"/>
      <sheetName val="MÉDIAS"/>
      <sheetName val="Medias_A"/>
    </sheetNames>
    <sheetDataSet>
      <sheetData sheetId="0"/>
      <sheetData sheetId="1"/>
      <sheetData sheetId="2"/>
      <sheetData sheetId="3"/>
      <sheetData sheetId="4">
        <row r="27">
          <cell r="L27">
            <v>1.0779865779364863</v>
          </cell>
        </row>
      </sheetData>
      <sheetData sheetId="5"/>
      <sheetData sheetId="6">
        <row r="27">
          <cell r="L27">
            <v>1.4419407566473825</v>
          </cell>
        </row>
      </sheetData>
      <sheetData sheetId="7"/>
      <sheetData sheetId="8">
        <row r="26">
          <cell r="L26">
            <v>27.3810091125134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Resumo"/>
      <sheetName val="Evolução"/>
      <sheetName val="HE (1)"/>
      <sheetName val="Ref_HE(1)"/>
      <sheetName val="HE (2)"/>
      <sheetName val="Ref_HE(2)"/>
      <sheetName val="HE (3)"/>
      <sheetName val="Ref_HE(3)"/>
      <sheetName val="Rescisórias"/>
      <sheetName val="Adic_not"/>
      <sheetName val="Ref_adic_nt"/>
      <sheetName val="Devolução"/>
      <sheetName val="Dif_sal"/>
      <sheetName val="Ref_difsal"/>
      <sheetName val="FGTS_INSS_IRRF"/>
      <sheetName val="INSS_MES"/>
      <sheetName val="MÉDIAS"/>
      <sheetName val="Medias_A"/>
    </sheetNames>
    <sheetDataSet>
      <sheetData sheetId="0"/>
      <sheetData sheetId="1"/>
      <sheetData sheetId="2"/>
      <sheetData sheetId="3"/>
      <sheetData sheetId="4">
        <row r="27">
          <cell r="L27">
            <v>1.0779865779364863</v>
          </cell>
        </row>
      </sheetData>
      <sheetData sheetId="5"/>
      <sheetData sheetId="6">
        <row r="27">
          <cell r="L27">
            <v>1.4419407566473825</v>
          </cell>
        </row>
      </sheetData>
      <sheetData sheetId="7"/>
      <sheetData sheetId="8">
        <row r="26">
          <cell r="L26">
            <v>27.3810091125134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Inicio"/>
      <sheetName val="ATUALIZAÇÃO"/>
      <sheetName val="DADOS REFLEXOS"/>
      <sheetName val="DADOS FOLHA"/>
      <sheetName val="RESUMO"/>
      <sheetName val="INSALUBRIDADE"/>
      <sheetName val="REFL. INSALUBRIDADE"/>
      <sheetName val="B. CALC. ADIC. NOT."/>
      <sheetName val="ADICIONAL NOTURNO"/>
      <sheetName val="DEM. MÉDIA ADIC. NOTURNO"/>
      <sheetName val="REFL. ADICION. NOTURNO"/>
      <sheetName val="BASE DE CALCULO"/>
      <sheetName val="COMVERSÃO HE"/>
      <sheetName val="HE+RSR"/>
      <sheetName val="DSR S_ HE"/>
      <sheetName val="Dem. média"/>
      <sheetName val="REFLEXOS HE +RSR"/>
      <sheetName val="HE DOMFER)"/>
      <sheetName val="DSR S_ HE DOMFER"/>
      <sheetName val="DEMONST. MÉDIA HE DOMFER."/>
      <sheetName val="REF_HE_DOM_FER"/>
      <sheetName val="B_CAL_NOT"/>
      <sheetName val="CONV. HE NOT."/>
      <sheetName val="HE+DSR_NOT"/>
      <sheetName val="DSR S_ HE NOT"/>
      <sheetName val="DEMONST. MÉDIA HE NOT."/>
      <sheetName val="REFL. HE NOT. + RSR"/>
      <sheetName val="HE DOMFER NOT"/>
      <sheetName val="DSR S_ HE DOMFER NOT"/>
      <sheetName val="DEMONST. MÉDIA HE NOT. (2)"/>
      <sheetName val="REFL. HE NOT. + RSR (2)"/>
      <sheetName val="COMISSÕES"/>
      <sheetName val="MÉDIA 13"/>
      <sheetName val="MÉDIA FÉRIAS"/>
      <sheetName val="MÉDIA AVISO"/>
      <sheetName val="REFL. COMISSÕES"/>
      <sheetName val="VERBAS RESCISÓRIAS"/>
      <sheetName val="SEGURO DESEMPREGO"/>
      <sheetName val="DESCONTOS"/>
      <sheetName val="MULTAS CONVENCIONAIS"/>
      <sheetName val="DANOS MORAIS"/>
      <sheetName val="DANOS MORAIS C JUROS"/>
      <sheetName val="HONORÁRIOS PERICIAIS"/>
      <sheetName val="FGTS PACTO"/>
      <sheetName val=" FGTS DEFERIDAS"/>
      <sheetName val="BC INSS"/>
      <sheetName val="INSS MES A MES "/>
      <sheetName val="INSS EMPRESA"/>
      <sheetName val="INSS EMPRESA MES A MES"/>
      <sheetName val="inss empr. rural p. física mens"/>
      <sheetName val="BC IR"/>
      <sheetName val="BC IR (2)"/>
      <sheetName val="IRR MES A MES  (2)"/>
      <sheetName val="IRR MES A MES "/>
      <sheetName val="IMPOSTO DE RENDA_IN"/>
      <sheetName val="IRR MES A MES  C_PROVENTOS"/>
      <sheetName val="IMPOSTO DE RENDA_IN_13º SEP."/>
      <sheetName val="IR_TOTAL"/>
      <sheetName val="REQUERIMENTO"/>
      <sheetName val="REQ. RECÁLCULO"/>
      <sheetName val="HONORÁRIOS"/>
      <sheetName val="FERIADOS"/>
      <sheetName val="Extenso Real"/>
      <sheetName val="PLANILHA DE CÁLCULOS"/>
    </sheetNames>
    <definedNames>
      <definedName name="ocultar_nao"/>
      <definedName name="reexibirfohas"/>
      <definedName name="reezibirproventos"/>
    </definedNames>
    <sheetDataSet>
      <sheetData sheetId="0" refreshError="1"/>
      <sheetData sheetId="1" refreshError="1">
        <row r="17">
          <cell r="D17">
            <v>35744</v>
          </cell>
        </row>
        <row r="18">
          <cell r="D18">
            <v>38509</v>
          </cell>
        </row>
        <row r="28">
          <cell r="D28">
            <v>36861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ta"/>
      <sheetName val="cruz"/>
      <sheetName val="tab."/>
      <sheetName val="c.gr"/>
      <sheetName val="enpe."/>
      <sheetName val="div"/>
      <sheetName val="ric."/>
      <sheetName val="prop."/>
      <sheetName val="8905-1"/>
      <sheetName val="8905-2"/>
      <sheetName val="8905-3"/>
      <sheetName val="8905-4"/>
      <sheetName val="8910-1"/>
      <sheetName val="8910-2"/>
      <sheetName val="8915-1"/>
      <sheetName val="8915-2"/>
      <sheetName val="8915-3"/>
      <sheetName val="8920-1"/>
      <sheetName val="8920-2"/>
      <sheetName val="8925-1"/>
      <sheetName val="8930-1"/>
      <sheetName val="8935-1"/>
      <sheetName val="8945-1"/>
      <sheetName val="8950-1"/>
      <sheetName val="8955-1"/>
      <sheetName val="8960-1"/>
      <sheetName val="ANX2"/>
      <sheetName val="rc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dcruz"/>
      <sheetName val="dmari"/>
      <sheetName val="drei"/>
      <sheetName val="pven"/>
      <sheetName val="p cc"/>
      <sheetName val="pcida"/>
      <sheetName val="firmas"/>
      <sheetName val="evolução"/>
      <sheetName val="evolução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Inicio"/>
      <sheetName val="datas"/>
      <sheetName val="partes"/>
      <sheetName val="cont"/>
      <sheetName val="contr"/>
      <sheetName val="d"/>
      <sheetName val="dados_aux"/>
      <sheetName val="cad_jcj"/>
      <sheetName val="sobre"/>
      <sheetName val="FOLHA"/>
      <sheetName val="Resumo"/>
      <sheetName val="Evolução"/>
      <sheetName val="conversão_he"/>
      <sheetName val="HE_SEG_SAB"/>
      <sheetName val="R_HE_SEG_SAB"/>
      <sheetName val="Resc"/>
      <sheetName val="seg_des"/>
      <sheetName val="Ad_nt"/>
      <sheetName val="Ref_adnt"/>
      <sheetName val="Dev"/>
      <sheetName val="COMISSÕES"/>
      <sheetName val="REF_COM"/>
      <sheetName val="insal"/>
      <sheetName val="ref_insal"/>
      <sheetName val="Dif_sal"/>
      <sheetName val="Ref_difsal"/>
      <sheetName val="FGTS"/>
      <sheetName val="IRRF"/>
      <sheetName val="IRF_RESC"/>
      <sheetName val="BASE_INSS_SEG"/>
      <sheetName val="CALC_INSS_SEG"/>
      <sheetName val="INSS RESCISÓRIA"/>
      <sheetName val="inss_empresa"/>
      <sheetName val="Modcal4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5">
          <cell r="A5">
            <v>34001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Inicio"/>
      <sheetName val="datas"/>
      <sheetName val="partes"/>
      <sheetName val="cont"/>
      <sheetName val="contr"/>
      <sheetName val="d"/>
      <sheetName val="dados_aux"/>
      <sheetName val="cad_jcj"/>
      <sheetName val="sobre"/>
      <sheetName val="FOLHA"/>
      <sheetName val="Resumo"/>
      <sheetName val="Evolução"/>
      <sheetName val="conversão_he"/>
      <sheetName val="HE_SEG_SAB"/>
      <sheetName val="R_HE_SEG_SAB"/>
      <sheetName val="Resc"/>
      <sheetName val="seg_des"/>
      <sheetName val="Ad_nt"/>
      <sheetName val="Ref_adnt"/>
      <sheetName val="Dev"/>
      <sheetName val="COMISSÕES"/>
      <sheetName val="REF_COM"/>
      <sheetName val="insal"/>
      <sheetName val="ref_insal"/>
      <sheetName val="Dif_sal"/>
      <sheetName val="Ref_difsal"/>
      <sheetName val="FGTS"/>
      <sheetName val="IRRF"/>
      <sheetName val="IRF_RESC"/>
      <sheetName val="BASE_INSS_SEG"/>
      <sheetName val="CALC_INSS_SEG"/>
      <sheetName val="INSS RESCISÓRIA"/>
      <sheetName val="inss_empresa"/>
      <sheetName val="Modcal4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5">
          <cell r="A5">
            <v>34001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ÍCIO"/>
      <sheetName val="Atualização"/>
      <sheetName val="pró rata"/>
      <sheetName val="novo grau de risco"/>
      <sheetName val="coeficientes"/>
      <sheetName val="coeficientes (2)"/>
      <sheetName val="sal. mínimo e seg. desemprego"/>
      <sheetName val="DSR.B"/>
      <sheetName val="DSR.C"/>
      <sheetName val="sal_fam"/>
      <sheetName val="inss"/>
      <sheetName val="quant. he"/>
      <sheetName val="IRR TOTAL1"/>
      <sheetName val="IRR TOTAL"/>
      <sheetName val="IRR MES"/>
      <sheetName val="FPAS"/>
      <sheetName val="tr mensal"/>
      <sheetName val="LEGISL. PREV."/>
      <sheetName val="tabela inss"/>
      <sheetName val="Inc. Tributárias"/>
      <sheetName val="Módul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D1">
            <v>2</v>
          </cell>
          <cell r="E1">
            <v>3</v>
          </cell>
          <cell r="G1">
            <v>5</v>
          </cell>
          <cell r="H1">
            <v>6</v>
          </cell>
          <cell r="J1">
            <v>8</v>
          </cell>
          <cell r="K1">
            <v>9</v>
          </cell>
          <cell r="M1">
            <v>11</v>
          </cell>
          <cell r="N1">
            <v>12</v>
          </cell>
          <cell r="P1">
            <v>14</v>
          </cell>
          <cell r="Q1">
            <v>15</v>
          </cell>
          <cell r="S1">
            <v>17</v>
          </cell>
          <cell r="T1">
            <v>18</v>
          </cell>
          <cell r="V1">
            <v>20</v>
          </cell>
          <cell r="W1">
            <v>21</v>
          </cell>
          <cell r="Y1">
            <v>23</v>
          </cell>
          <cell r="Z1">
            <v>24</v>
          </cell>
          <cell r="AB1">
            <v>26</v>
          </cell>
          <cell r="AC1">
            <v>27</v>
          </cell>
          <cell r="AE1">
            <v>29</v>
          </cell>
          <cell r="AF1">
            <v>30</v>
          </cell>
        </row>
        <row r="2">
          <cell r="C2">
            <v>1</v>
          </cell>
          <cell r="D2">
            <v>2</v>
          </cell>
          <cell r="E2">
            <v>3</v>
          </cell>
          <cell r="F2">
            <v>4</v>
          </cell>
          <cell r="G2">
            <v>5</v>
          </cell>
          <cell r="H2">
            <v>6</v>
          </cell>
          <cell r="I2">
            <v>7</v>
          </cell>
          <cell r="J2">
            <v>8</v>
          </cell>
          <cell r="K2">
            <v>9</v>
          </cell>
          <cell r="L2">
            <v>10</v>
          </cell>
          <cell r="M2">
            <v>11</v>
          </cell>
          <cell r="N2">
            <v>12</v>
          </cell>
          <cell r="O2">
            <v>13</v>
          </cell>
          <cell r="P2">
            <v>14</v>
          </cell>
          <cell r="Q2">
            <v>15</v>
          </cell>
          <cell r="R2">
            <v>16</v>
          </cell>
          <cell r="S2">
            <v>17</v>
          </cell>
          <cell r="T2">
            <v>18</v>
          </cell>
          <cell r="U2">
            <v>19</v>
          </cell>
          <cell r="V2">
            <v>20</v>
          </cell>
          <cell r="W2">
            <v>21</v>
          </cell>
          <cell r="X2">
            <v>22</v>
          </cell>
          <cell r="Y2">
            <v>23</v>
          </cell>
          <cell r="Z2">
            <v>24</v>
          </cell>
          <cell r="AA2">
            <v>25</v>
          </cell>
          <cell r="AB2">
            <v>26</v>
          </cell>
          <cell r="AC2">
            <v>27</v>
          </cell>
          <cell r="AD2">
            <v>28</v>
          </cell>
          <cell r="AE2">
            <v>29</v>
          </cell>
          <cell r="AF2">
            <v>30</v>
          </cell>
          <cell r="AG2">
            <v>31</v>
          </cell>
          <cell r="AH2">
            <v>32</v>
          </cell>
          <cell r="AI2">
            <v>33</v>
          </cell>
          <cell r="AJ2">
            <v>34</v>
          </cell>
          <cell r="AK2">
            <v>33</v>
          </cell>
        </row>
        <row r="3">
          <cell r="C3" t="str">
            <v>períodos</v>
          </cell>
          <cell r="D3" t="str">
            <v>1ª Faixa</v>
          </cell>
          <cell r="G3" t="str">
            <v>2ª Faixa</v>
          </cell>
          <cell r="J3" t="str">
            <v>3ª Faixa</v>
          </cell>
          <cell r="M3" t="str">
            <v>4ª Faixa</v>
          </cell>
          <cell r="P3" t="str">
            <v>5ª Faixa</v>
          </cell>
          <cell r="S3" t="str">
            <v>6ª Faixa</v>
          </cell>
          <cell r="V3" t="str">
            <v>7ª Faixa</v>
          </cell>
          <cell r="Y3" t="str">
            <v>8ª Faixa</v>
          </cell>
          <cell r="AB3" t="str">
            <v>9ª Faixa</v>
          </cell>
          <cell r="AE3" t="str">
            <v>10ª Faixa</v>
          </cell>
          <cell r="AH3" t="str">
            <v>desconto</v>
          </cell>
          <cell r="AI3" t="str">
            <v>Teto de</v>
          </cell>
          <cell r="AJ3" t="str">
            <v xml:space="preserve">desc 25% </v>
          </cell>
          <cell r="AK3" t="str">
            <v>Lim.</v>
          </cell>
        </row>
        <row r="4">
          <cell r="C4" t="str">
            <v>de apuraç.</v>
          </cell>
          <cell r="D4" t="str">
            <v>Limite</v>
          </cell>
          <cell r="E4" t="str">
            <v>%</v>
          </cell>
          <cell r="F4" t="str">
            <v>Deduçao</v>
          </cell>
          <cell r="G4" t="str">
            <v>Limite</v>
          </cell>
          <cell r="H4" t="str">
            <v>%</v>
          </cell>
          <cell r="I4" t="str">
            <v>Deduçao</v>
          </cell>
          <cell r="J4" t="str">
            <v>Limite</v>
          </cell>
          <cell r="K4" t="str">
            <v>%</v>
          </cell>
          <cell r="L4" t="str">
            <v>Deduçao</v>
          </cell>
          <cell r="M4" t="str">
            <v>Limite</v>
          </cell>
          <cell r="N4" t="str">
            <v>%</v>
          </cell>
          <cell r="O4" t="str">
            <v>Deduçao</v>
          </cell>
          <cell r="P4" t="str">
            <v>Limite</v>
          </cell>
          <cell r="Q4" t="str">
            <v>%</v>
          </cell>
          <cell r="R4" t="str">
            <v>Deduçao</v>
          </cell>
          <cell r="S4" t="str">
            <v>Limite</v>
          </cell>
          <cell r="T4" t="str">
            <v>%</v>
          </cell>
          <cell r="U4" t="str">
            <v>Deduçao</v>
          </cell>
          <cell r="V4" t="str">
            <v>Limite</v>
          </cell>
          <cell r="W4" t="str">
            <v>%</v>
          </cell>
          <cell r="X4" t="str">
            <v>Deduçao</v>
          </cell>
          <cell r="Y4" t="str">
            <v>Limite</v>
          </cell>
          <cell r="Z4" t="str">
            <v>%</v>
          </cell>
          <cell r="AA4" t="str">
            <v>Deduçao</v>
          </cell>
          <cell r="AB4" t="str">
            <v>Limite</v>
          </cell>
          <cell r="AC4" t="str">
            <v>%</v>
          </cell>
          <cell r="AD4" t="str">
            <v>Deduçao</v>
          </cell>
          <cell r="AE4" t="str">
            <v>Limite</v>
          </cell>
          <cell r="AF4" t="str">
            <v>%</v>
          </cell>
          <cell r="AG4" t="str">
            <v>Deduçao</v>
          </cell>
          <cell r="AH4" t="str">
            <v>p/ depend.</v>
          </cell>
          <cell r="AI4" t="str">
            <v>isenção</v>
          </cell>
          <cell r="AJ4" t="str">
            <v>até o teto</v>
          </cell>
          <cell r="AK4" t="str">
            <v>Dep</v>
          </cell>
        </row>
        <row r="5">
          <cell r="C5">
            <v>31413</v>
          </cell>
          <cell r="D5">
            <v>1761000</v>
          </cell>
          <cell r="E5">
            <v>0.05</v>
          </cell>
          <cell r="F5">
            <v>88050</v>
          </cell>
          <cell r="G5">
            <v>3034000</v>
          </cell>
          <cell r="H5">
            <v>0.08</v>
          </cell>
          <cell r="I5">
            <v>179070</v>
          </cell>
          <cell r="J5">
            <v>6146000</v>
          </cell>
          <cell r="K5">
            <v>0.1</v>
          </cell>
          <cell r="L5">
            <v>301990</v>
          </cell>
          <cell r="M5">
            <v>8949000</v>
          </cell>
          <cell r="N5">
            <v>0.15</v>
          </cell>
          <cell r="O5">
            <v>749440</v>
          </cell>
          <cell r="P5">
            <v>14098000</v>
          </cell>
          <cell r="Q5">
            <v>0.2</v>
          </cell>
          <cell r="R5">
            <v>1454340</v>
          </cell>
          <cell r="S5">
            <v>17882000</v>
          </cell>
          <cell r="T5">
            <v>0.25</v>
          </cell>
          <cell r="U5">
            <v>2348440</v>
          </cell>
          <cell r="V5">
            <v>22200000</v>
          </cell>
          <cell r="W5">
            <v>0.3</v>
          </cell>
          <cell r="X5">
            <v>3458440</v>
          </cell>
          <cell r="Y5">
            <v>34257000</v>
          </cell>
          <cell r="Z5">
            <v>0.35</v>
          </cell>
          <cell r="AA5">
            <v>5171290</v>
          </cell>
          <cell r="AB5">
            <v>47565000</v>
          </cell>
          <cell r="AC5">
            <v>0.4</v>
          </cell>
          <cell r="AD5">
            <v>7549540</v>
          </cell>
          <cell r="AE5">
            <v>65010000</v>
          </cell>
          <cell r="AF5">
            <v>0.45</v>
          </cell>
          <cell r="AG5">
            <v>10800040</v>
          </cell>
          <cell r="AH5">
            <v>200000</v>
          </cell>
          <cell r="AI5">
            <v>3000000</v>
          </cell>
          <cell r="AJ5">
            <v>1500000</v>
          </cell>
        </row>
        <row r="6">
          <cell r="C6">
            <v>31444</v>
          </cell>
          <cell r="D6">
            <v>1761000</v>
          </cell>
          <cell r="E6">
            <v>0.05</v>
          </cell>
          <cell r="F6">
            <v>88050</v>
          </cell>
          <cell r="G6">
            <v>3034000</v>
          </cell>
          <cell r="H6">
            <v>0.08</v>
          </cell>
          <cell r="I6">
            <v>179070</v>
          </cell>
          <cell r="J6">
            <v>6146000</v>
          </cell>
          <cell r="K6">
            <v>0.1</v>
          </cell>
          <cell r="L6">
            <v>301990</v>
          </cell>
          <cell r="M6">
            <v>8949000</v>
          </cell>
          <cell r="N6">
            <v>0.15</v>
          </cell>
          <cell r="O6">
            <v>749440</v>
          </cell>
          <cell r="P6">
            <v>14098000</v>
          </cell>
          <cell r="Q6">
            <v>0.2</v>
          </cell>
          <cell r="R6">
            <v>1454340</v>
          </cell>
          <cell r="S6">
            <v>17882000</v>
          </cell>
          <cell r="T6">
            <v>0.25</v>
          </cell>
          <cell r="U6">
            <v>2348440</v>
          </cell>
          <cell r="V6">
            <v>22200000</v>
          </cell>
          <cell r="W6">
            <v>0.3</v>
          </cell>
          <cell r="X6">
            <v>3458440</v>
          </cell>
          <cell r="Y6">
            <v>34257000</v>
          </cell>
          <cell r="Z6">
            <v>0.35</v>
          </cell>
          <cell r="AA6">
            <v>5171290</v>
          </cell>
          <cell r="AB6">
            <v>47565000</v>
          </cell>
          <cell r="AC6">
            <v>0.4</v>
          </cell>
          <cell r="AD6">
            <v>7549540</v>
          </cell>
          <cell r="AE6">
            <v>65010000</v>
          </cell>
          <cell r="AF6">
            <v>0.45</v>
          </cell>
          <cell r="AG6">
            <v>10800040</v>
          </cell>
          <cell r="AH6">
            <v>200000</v>
          </cell>
          <cell r="AI6">
            <v>3000000</v>
          </cell>
          <cell r="AJ6">
            <v>1500000</v>
          </cell>
        </row>
        <row r="7">
          <cell r="C7">
            <v>31472</v>
          </cell>
          <cell r="D7">
            <v>1761</v>
          </cell>
          <cell r="E7">
            <v>0.05</v>
          </cell>
          <cell r="F7">
            <v>88.05</v>
          </cell>
          <cell r="G7">
            <v>3034</v>
          </cell>
          <cell r="H7">
            <v>0.08</v>
          </cell>
          <cell r="I7">
            <v>179.07</v>
          </cell>
          <cell r="J7">
            <v>6146</v>
          </cell>
          <cell r="K7">
            <v>0.1</v>
          </cell>
          <cell r="L7">
            <v>301.99</v>
          </cell>
          <cell r="M7">
            <v>8949</v>
          </cell>
          <cell r="N7">
            <v>0.15</v>
          </cell>
          <cell r="O7">
            <v>749.44</v>
          </cell>
          <cell r="P7">
            <v>14098</v>
          </cell>
          <cell r="Q7">
            <v>0.2</v>
          </cell>
          <cell r="R7">
            <v>1454.34</v>
          </cell>
          <cell r="S7">
            <v>17882</v>
          </cell>
          <cell r="T7">
            <v>0.25</v>
          </cell>
          <cell r="U7">
            <v>2348.44</v>
          </cell>
          <cell r="V7">
            <v>22200</v>
          </cell>
          <cell r="W7">
            <v>0.3</v>
          </cell>
          <cell r="X7">
            <v>3458.44</v>
          </cell>
          <cell r="Y7">
            <v>34257</v>
          </cell>
          <cell r="Z7">
            <v>0.35</v>
          </cell>
          <cell r="AA7">
            <v>5171.29</v>
          </cell>
          <cell r="AB7">
            <v>47565</v>
          </cell>
          <cell r="AC7">
            <v>0.4</v>
          </cell>
          <cell r="AD7">
            <v>7549.54</v>
          </cell>
          <cell r="AE7">
            <v>65010</v>
          </cell>
          <cell r="AF7">
            <v>0.45</v>
          </cell>
          <cell r="AG7">
            <v>10800.04</v>
          </cell>
          <cell r="AH7">
            <v>200</v>
          </cell>
          <cell r="AI7">
            <v>4020</v>
          </cell>
          <cell r="AJ7">
            <v>1500</v>
          </cell>
        </row>
        <row r="8">
          <cell r="C8">
            <v>31503</v>
          </cell>
          <cell r="D8">
            <v>1761</v>
          </cell>
          <cell r="E8">
            <v>0.05</v>
          </cell>
          <cell r="F8">
            <v>88.05</v>
          </cell>
          <cell r="G8">
            <v>3034</v>
          </cell>
          <cell r="H8">
            <v>0.08</v>
          </cell>
          <cell r="I8">
            <v>179.07</v>
          </cell>
          <cell r="J8">
            <v>6146</v>
          </cell>
          <cell r="K8">
            <v>0.1</v>
          </cell>
          <cell r="L8">
            <v>301.99</v>
          </cell>
          <cell r="M8">
            <v>8949</v>
          </cell>
          <cell r="N8">
            <v>0.15</v>
          </cell>
          <cell r="O8">
            <v>749.44</v>
          </cell>
          <cell r="P8">
            <v>14098</v>
          </cell>
          <cell r="Q8">
            <v>0.2</v>
          </cell>
          <cell r="R8">
            <v>1454.34</v>
          </cell>
          <cell r="S8">
            <v>17882</v>
          </cell>
          <cell r="T8">
            <v>0.25</v>
          </cell>
          <cell r="U8">
            <v>2348.44</v>
          </cell>
          <cell r="V8">
            <v>22200</v>
          </cell>
          <cell r="W8">
            <v>0.3</v>
          </cell>
          <cell r="X8">
            <v>3458.44</v>
          </cell>
          <cell r="Y8">
            <v>34257</v>
          </cell>
          <cell r="Z8">
            <v>0.35</v>
          </cell>
          <cell r="AA8">
            <v>5171.29</v>
          </cell>
          <cell r="AB8">
            <v>47565</v>
          </cell>
          <cell r="AC8">
            <v>0.4</v>
          </cell>
          <cell r="AD8">
            <v>7549.54</v>
          </cell>
          <cell r="AE8">
            <v>65010</v>
          </cell>
          <cell r="AF8">
            <v>0.45</v>
          </cell>
          <cell r="AG8">
            <v>10800.04</v>
          </cell>
          <cell r="AH8">
            <v>200</v>
          </cell>
          <cell r="AI8">
            <v>4020</v>
          </cell>
          <cell r="AJ8">
            <v>1500</v>
          </cell>
        </row>
        <row r="9">
          <cell r="C9">
            <v>31533</v>
          </cell>
          <cell r="D9">
            <v>1761</v>
          </cell>
          <cell r="E9">
            <v>0.05</v>
          </cell>
          <cell r="F9">
            <v>88.05</v>
          </cell>
          <cell r="G9">
            <v>3034</v>
          </cell>
          <cell r="H9">
            <v>0.08</v>
          </cell>
          <cell r="I9">
            <v>179.07</v>
          </cell>
          <cell r="J9">
            <v>6146</v>
          </cell>
          <cell r="K9">
            <v>0.1</v>
          </cell>
          <cell r="L9">
            <v>301.99</v>
          </cell>
          <cell r="M9">
            <v>8949</v>
          </cell>
          <cell r="N9">
            <v>0.15</v>
          </cell>
          <cell r="O9">
            <v>749.44</v>
          </cell>
          <cell r="P9">
            <v>14098</v>
          </cell>
          <cell r="Q9">
            <v>0.2</v>
          </cell>
          <cell r="R9">
            <v>1454.34</v>
          </cell>
          <cell r="S9">
            <v>17882</v>
          </cell>
          <cell r="T9">
            <v>0.25</v>
          </cell>
          <cell r="U9">
            <v>2348.44</v>
          </cell>
          <cell r="V9">
            <v>22200</v>
          </cell>
          <cell r="W9">
            <v>0.3</v>
          </cell>
          <cell r="X9">
            <v>3458.44</v>
          </cell>
          <cell r="Y9">
            <v>34257</v>
          </cell>
          <cell r="Z9">
            <v>0.35</v>
          </cell>
          <cell r="AA9">
            <v>5171.29</v>
          </cell>
          <cell r="AB9">
            <v>47565</v>
          </cell>
          <cell r="AC9">
            <v>0.4</v>
          </cell>
          <cell r="AD9">
            <v>7549.54</v>
          </cell>
          <cell r="AE9">
            <v>65010</v>
          </cell>
          <cell r="AF9">
            <v>0.45</v>
          </cell>
          <cell r="AG9">
            <v>10800.04</v>
          </cell>
          <cell r="AH9">
            <v>200</v>
          </cell>
          <cell r="AI9">
            <v>4020</v>
          </cell>
          <cell r="AJ9">
            <v>1500</v>
          </cell>
        </row>
        <row r="10">
          <cell r="C10">
            <v>31564</v>
          </cell>
          <cell r="D10">
            <v>1761</v>
          </cell>
          <cell r="E10">
            <v>0.05</v>
          </cell>
          <cell r="F10">
            <v>88.05</v>
          </cell>
          <cell r="G10">
            <v>3034</v>
          </cell>
          <cell r="H10">
            <v>0.08</v>
          </cell>
          <cell r="I10">
            <v>179.07</v>
          </cell>
          <cell r="J10">
            <v>6146</v>
          </cell>
          <cell r="K10">
            <v>0.1</v>
          </cell>
          <cell r="L10">
            <v>301.99</v>
          </cell>
          <cell r="M10">
            <v>8949</v>
          </cell>
          <cell r="N10">
            <v>0.15</v>
          </cell>
          <cell r="O10">
            <v>749.44</v>
          </cell>
          <cell r="P10">
            <v>14098</v>
          </cell>
          <cell r="Q10">
            <v>0.2</v>
          </cell>
          <cell r="R10">
            <v>1454.34</v>
          </cell>
          <cell r="S10">
            <v>17882</v>
          </cell>
          <cell r="T10">
            <v>0.25</v>
          </cell>
          <cell r="U10">
            <v>2348.44</v>
          </cell>
          <cell r="V10">
            <v>22200</v>
          </cell>
          <cell r="W10">
            <v>0.3</v>
          </cell>
          <cell r="X10">
            <v>3458.44</v>
          </cell>
          <cell r="Y10">
            <v>34257</v>
          </cell>
          <cell r="Z10">
            <v>0.35</v>
          </cell>
          <cell r="AA10">
            <v>5171.29</v>
          </cell>
          <cell r="AB10">
            <v>47565</v>
          </cell>
          <cell r="AC10">
            <v>0.4</v>
          </cell>
          <cell r="AD10">
            <v>7549.54</v>
          </cell>
          <cell r="AE10">
            <v>65010</v>
          </cell>
          <cell r="AF10">
            <v>0.45</v>
          </cell>
          <cell r="AG10">
            <v>10800.04</v>
          </cell>
          <cell r="AH10">
            <v>200</v>
          </cell>
          <cell r="AI10">
            <v>4020</v>
          </cell>
          <cell r="AJ10">
            <v>1500</v>
          </cell>
        </row>
        <row r="11">
          <cell r="C11">
            <v>31594</v>
          </cell>
          <cell r="D11">
            <v>1761</v>
          </cell>
          <cell r="E11">
            <v>0.05</v>
          </cell>
          <cell r="F11">
            <v>88.05</v>
          </cell>
          <cell r="G11">
            <v>3034</v>
          </cell>
          <cell r="H11">
            <v>0.08</v>
          </cell>
          <cell r="I11">
            <v>179.07</v>
          </cell>
          <cell r="J11">
            <v>6146</v>
          </cell>
          <cell r="K11">
            <v>0.1</v>
          </cell>
          <cell r="L11">
            <v>301.99</v>
          </cell>
          <cell r="M11">
            <v>8949</v>
          </cell>
          <cell r="N11">
            <v>0.15</v>
          </cell>
          <cell r="O11">
            <v>749.44</v>
          </cell>
          <cell r="P11">
            <v>14098</v>
          </cell>
          <cell r="Q11">
            <v>0.2</v>
          </cell>
          <cell r="R11">
            <v>1454.34</v>
          </cell>
          <cell r="S11">
            <v>17882</v>
          </cell>
          <cell r="T11">
            <v>0.25</v>
          </cell>
          <cell r="U11">
            <v>2348.44</v>
          </cell>
          <cell r="V11">
            <v>22200</v>
          </cell>
          <cell r="W11">
            <v>0.3</v>
          </cell>
          <cell r="X11">
            <v>3458.44</v>
          </cell>
          <cell r="Y11">
            <v>34257</v>
          </cell>
          <cell r="Z11">
            <v>0.35</v>
          </cell>
          <cell r="AA11">
            <v>5171.29</v>
          </cell>
          <cell r="AB11">
            <v>47565</v>
          </cell>
          <cell r="AC11">
            <v>0.4</v>
          </cell>
          <cell r="AD11">
            <v>7549.54</v>
          </cell>
          <cell r="AE11">
            <v>65010</v>
          </cell>
          <cell r="AF11">
            <v>0.45</v>
          </cell>
          <cell r="AG11">
            <v>10800.04</v>
          </cell>
          <cell r="AH11">
            <v>200</v>
          </cell>
          <cell r="AI11">
            <v>4020</v>
          </cell>
          <cell r="AJ11">
            <v>1500</v>
          </cell>
        </row>
        <row r="12">
          <cell r="C12">
            <v>31625</v>
          </cell>
          <cell r="D12">
            <v>1761</v>
          </cell>
          <cell r="E12">
            <v>0.05</v>
          </cell>
          <cell r="F12">
            <v>88.05</v>
          </cell>
          <cell r="G12">
            <v>3034</v>
          </cell>
          <cell r="H12">
            <v>0.08</v>
          </cell>
          <cell r="I12">
            <v>179.07</v>
          </cell>
          <cell r="J12">
            <v>6146</v>
          </cell>
          <cell r="K12">
            <v>0.1</v>
          </cell>
          <cell r="L12">
            <v>301.99</v>
          </cell>
          <cell r="M12">
            <v>8949</v>
          </cell>
          <cell r="N12">
            <v>0.15</v>
          </cell>
          <cell r="O12">
            <v>749.44</v>
          </cell>
          <cell r="P12">
            <v>14098</v>
          </cell>
          <cell r="Q12">
            <v>0.2</v>
          </cell>
          <cell r="R12">
            <v>1454.34</v>
          </cell>
          <cell r="S12">
            <v>17882</v>
          </cell>
          <cell r="T12">
            <v>0.25</v>
          </cell>
          <cell r="U12">
            <v>2348.44</v>
          </cell>
          <cell r="V12">
            <v>22200</v>
          </cell>
          <cell r="W12">
            <v>0.3</v>
          </cell>
          <cell r="X12">
            <v>3458.44</v>
          </cell>
          <cell r="Y12">
            <v>34257</v>
          </cell>
          <cell r="Z12">
            <v>0.35</v>
          </cell>
          <cell r="AA12">
            <v>5171.29</v>
          </cell>
          <cell r="AB12">
            <v>47565</v>
          </cell>
          <cell r="AC12">
            <v>0.4</v>
          </cell>
          <cell r="AD12">
            <v>7549.54</v>
          </cell>
          <cell r="AE12">
            <v>65010</v>
          </cell>
          <cell r="AF12">
            <v>0.45</v>
          </cell>
          <cell r="AG12">
            <v>10800.04</v>
          </cell>
          <cell r="AH12">
            <v>200</v>
          </cell>
          <cell r="AI12">
            <v>4020</v>
          </cell>
          <cell r="AJ12">
            <v>1500</v>
          </cell>
        </row>
        <row r="13">
          <cell r="C13">
            <v>31656</v>
          </cell>
          <cell r="D13">
            <v>1761</v>
          </cell>
          <cell r="E13">
            <v>0.05</v>
          </cell>
          <cell r="F13">
            <v>88.05</v>
          </cell>
          <cell r="G13">
            <v>3034</v>
          </cell>
          <cell r="H13">
            <v>0.08</v>
          </cell>
          <cell r="I13">
            <v>179.07</v>
          </cell>
          <cell r="J13">
            <v>6146</v>
          </cell>
          <cell r="K13">
            <v>0.1</v>
          </cell>
          <cell r="L13">
            <v>301.99</v>
          </cell>
          <cell r="M13">
            <v>8949</v>
          </cell>
          <cell r="N13">
            <v>0.15</v>
          </cell>
          <cell r="O13">
            <v>749.44</v>
          </cell>
          <cell r="P13">
            <v>14098</v>
          </cell>
          <cell r="Q13">
            <v>0.2</v>
          </cell>
          <cell r="R13">
            <v>1454.34</v>
          </cell>
          <cell r="S13">
            <v>17882</v>
          </cell>
          <cell r="T13">
            <v>0.25</v>
          </cell>
          <cell r="U13">
            <v>2348.44</v>
          </cell>
          <cell r="V13">
            <v>22200</v>
          </cell>
          <cell r="W13">
            <v>0.3</v>
          </cell>
          <cell r="X13">
            <v>3458.44</v>
          </cell>
          <cell r="Y13">
            <v>34257</v>
          </cell>
          <cell r="Z13">
            <v>0.35</v>
          </cell>
          <cell r="AA13">
            <v>5171.29</v>
          </cell>
          <cell r="AB13">
            <v>47565</v>
          </cell>
          <cell r="AC13">
            <v>0.4</v>
          </cell>
          <cell r="AD13">
            <v>7549.54</v>
          </cell>
          <cell r="AE13">
            <v>65010</v>
          </cell>
          <cell r="AF13">
            <v>0.45</v>
          </cell>
          <cell r="AG13">
            <v>10800.04</v>
          </cell>
          <cell r="AH13">
            <v>200</v>
          </cell>
          <cell r="AI13">
            <v>4020</v>
          </cell>
          <cell r="AJ13">
            <v>1500</v>
          </cell>
        </row>
        <row r="14">
          <cell r="C14">
            <v>31686</v>
          </cell>
          <cell r="D14">
            <v>1761</v>
          </cell>
          <cell r="E14">
            <v>0.05</v>
          </cell>
          <cell r="F14">
            <v>88.05</v>
          </cell>
          <cell r="G14">
            <v>3034</v>
          </cell>
          <cell r="H14">
            <v>0.08</v>
          </cell>
          <cell r="I14">
            <v>179.07</v>
          </cell>
          <cell r="J14">
            <v>6146</v>
          </cell>
          <cell r="K14">
            <v>0.1</v>
          </cell>
          <cell r="L14">
            <v>301.99</v>
          </cell>
          <cell r="M14">
            <v>8949</v>
          </cell>
          <cell r="N14">
            <v>0.15</v>
          </cell>
          <cell r="O14">
            <v>749.44</v>
          </cell>
          <cell r="P14">
            <v>14098</v>
          </cell>
          <cell r="Q14">
            <v>0.2</v>
          </cell>
          <cell r="R14">
            <v>1454.34</v>
          </cell>
          <cell r="S14">
            <v>17882</v>
          </cell>
          <cell r="T14">
            <v>0.25</v>
          </cell>
          <cell r="U14">
            <v>2348.44</v>
          </cell>
          <cell r="V14">
            <v>22200</v>
          </cell>
          <cell r="W14">
            <v>0.3</v>
          </cell>
          <cell r="X14">
            <v>3458.44</v>
          </cell>
          <cell r="Y14">
            <v>34257</v>
          </cell>
          <cell r="Z14">
            <v>0.35</v>
          </cell>
          <cell r="AA14">
            <v>5171.29</v>
          </cell>
          <cell r="AB14">
            <v>47565</v>
          </cell>
          <cell r="AC14">
            <v>0.4</v>
          </cell>
          <cell r="AD14">
            <v>7549.54</v>
          </cell>
          <cell r="AE14">
            <v>65010</v>
          </cell>
          <cell r="AF14">
            <v>0.45</v>
          </cell>
          <cell r="AG14">
            <v>10800.04</v>
          </cell>
          <cell r="AH14">
            <v>200</v>
          </cell>
          <cell r="AI14">
            <v>4020</v>
          </cell>
          <cell r="AJ14">
            <v>1500</v>
          </cell>
        </row>
        <row r="15">
          <cell r="C15">
            <v>31717</v>
          </cell>
          <cell r="D15">
            <v>1761</v>
          </cell>
          <cell r="E15">
            <v>0.05</v>
          </cell>
          <cell r="F15">
            <v>88.05</v>
          </cell>
          <cell r="G15">
            <v>3034</v>
          </cell>
          <cell r="H15">
            <v>0.08</v>
          </cell>
          <cell r="I15">
            <v>179.07</v>
          </cell>
          <cell r="J15">
            <v>6146</v>
          </cell>
          <cell r="K15">
            <v>0.1</v>
          </cell>
          <cell r="L15">
            <v>301.99</v>
          </cell>
          <cell r="M15">
            <v>8949</v>
          </cell>
          <cell r="N15">
            <v>0.15</v>
          </cell>
          <cell r="O15">
            <v>749.44</v>
          </cell>
          <cell r="P15">
            <v>14098</v>
          </cell>
          <cell r="Q15">
            <v>0.2</v>
          </cell>
          <cell r="R15">
            <v>1454.34</v>
          </cell>
          <cell r="S15">
            <v>17882</v>
          </cell>
          <cell r="T15">
            <v>0.25</v>
          </cell>
          <cell r="U15">
            <v>2348.44</v>
          </cell>
          <cell r="V15">
            <v>22200</v>
          </cell>
          <cell r="W15">
            <v>0.3</v>
          </cell>
          <cell r="X15">
            <v>3458.44</v>
          </cell>
          <cell r="Y15">
            <v>34257</v>
          </cell>
          <cell r="Z15">
            <v>0.35</v>
          </cell>
          <cell r="AA15">
            <v>5171.29</v>
          </cell>
          <cell r="AB15">
            <v>47565</v>
          </cell>
          <cell r="AC15">
            <v>0.4</v>
          </cell>
          <cell r="AD15">
            <v>7549.54</v>
          </cell>
          <cell r="AE15">
            <v>65010</v>
          </cell>
          <cell r="AF15">
            <v>0.45</v>
          </cell>
          <cell r="AG15">
            <v>10800.04</v>
          </cell>
          <cell r="AH15">
            <v>200</v>
          </cell>
          <cell r="AI15">
            <v>4020</v>
          </cell>
          <cell r="AJ15">
            <v>1500</v>
          </cell>
        </row>
        <row r="16">
          <cell r="C16">
            <v>31747</v>
          </cell>
          <cell r="D16">
            <v>1761</v>
          </cell>
          <cell r="E16">
            <v>0.05</v>
          </cell>
          <cell r="F16">
            <v>88.05</v>
          </cell>
          <cell r="G16">
            <v>3034</v>
          </cell>
          <cell r="H16">
            <v>0.08</v>
          </cell>
          <cell r="I16">
            <v>179.07</v>
          </cell>
          <cell r="J16">
            <v>6146</v>
          </cell>
          <cell r="K16">
            <v>0.1</v>
          </cell>
          <cell r="L16">
            <v>301.99</v>
          </cell>
          <cell r="M16">
            <v>8949</v>
          </cell>
          <cell r="N16">
            <v>0.15</v>
          </cell>
          <cell r="O16">
            <v>749.44</v>
          </cell>
          <cell r="P16">
            <v>14098</v>
          </cell>
          <cell r="Q16">
            <v>0.2</v>
          </cell>
          <cell r="R16">
            <v>1454.34</v>
          </cell>
          <cell r="S16">
            <v>17882</v>
          </cell>
          <cell r="T16">
            <v>0.25</v>
          </cell>
          <cell r="U16">
            <v>2348.44</v>
          </cell>
          <cell r="V16">
            <v>22200</v>
          </cell>
          <cell r="W16">
            <v>0.3</v>
          </cell>
          <cell r="X16">
            <v>3458.44</v>
          </cell>
          <cell r="Y16">
            <v>34257</v>
          </cell>
          <cell r="Z16">
            <v>0.35</v>
          </cell>
          <cell r="AA16">
            <v>5171.29</v>
          </cell>
          <cell r="AB16">
            <v>47565</v>
          </cell>
          <cell r="AC16">
            <v>0.4</v>
          </cell>
          <cell r="AD16">
            <v>7549.54</v>
          </cell>
          <cell r="AE16">
            <v>65010</v>
          </cell>
          <cell r="AF16">
            <v>0.45</v>
          </cell>
          <cell r="AG16">
            <v>10800.04</v>
          </cell>
          <cell r="AH16">
            <v>200</v>
          </cell>
          <cell r="AI16">
            <v>4020</v>
          </cell>
          <cell r="AJ16">
            <v>1500</v>
          </cell>
        </row>
        <row r="17">
          <cell r="C17">
            <v>31778</v>
          </cell>
          <cell r="D17">
            <v>1978</v>
          </cell>
          <cell r="E17">
            <v>0.05</v>
          </cell>
          <cell r="F17">
            <v>99</v>
          </cell>
          <cell r="G17">
            <v>3407</v>
          </cell>
          <cell r="H17">
            <v>0.08</v>
          </cell>
          <cell r="I17">
            <v>201</v>
          </cell>
          <cell r="J17">
            <v>6902</v>
          </cell>
          <cell r="K17">
            <v>0.1</v>
          </cell>
          <cell r="L17">
            <v>339</v>
          </cell>
          <cell r="M17">
            <v>10050</v>
          </cell>
          <cell r="N17">
            <v>0.15</v>
          </cell>
          <cell r="O17">
            <v>841</v>
          </cell>
          <cell r="P17">
            <v>15832</v>
          </cell>
          <cell r="Q17">
            <v>0.2</v>
          </cell>
          <cell r="R17">
            <v>1633</v>
          </cell>
          <cell r="S17">
            <v>20081</v>
          </cell>
          <cell r="T17">
            <v>0.25</v>
          </cell>
          <cell r="U17">
            <v>2637</v>
          </cell>
          <cell r="V17">
            <v>24931</v>
          </cell>
          <cell r="W17">
            <v>0.3</v>
          </cell>
          <cell r="X17">
            <v>3883</v>
          </cell>
          <cell r="Y17">
            <v>38471</v>
          </cell>
          <cell r="Z17">
            <v>0.35</v>
          </cell>
          <cell r="AA17">
            <v>5807</v>
          </cell>
          <cell r="AB17">
            <v>53415</v>
          </cell>
          <cell r="AC17">
            <v>0.4</v>
          </cell>
          <cell r="AD17">
            <v>8478</v>
          </cell>
          <cell r="AE17">
            <v>73006</v>
          </cell>
          <cell r="AF17">
            <v>0.45</v>
          </cell>
          <cell r="AG17">
            <v>12128</v>
          </cell>
          <cell r="AH17">
            <v>225</v>
          </cell>
          <cell r="AI17">
            <v>4824</v>
          </cell>
          <cell r="AJ17">
            <v>1700</v>
          </cell>
        </row>
        <row r="18">
          <cell r="C18">
            <v>31809</v>
          </cell>
          <cell r="D18">
            <v>1978</v>
          </cell>
          <cell r="E18">
            <v>0.05</v>
          </cell>
          <cell r="F18">
            <v>99</v>
          </cell>
          <cell r="G18">
            <v>3407</v>
          </cell>
          <cell r="H18">
            <v>0.08</v>
          </cell>
          <cell r="I18">
            <v>201</v>
          </cell>
          <cell r="J18">
            <v>6902</v>
          </cell>
          <cell r="K18">
            <v>0.1</v>
          </cell>
          <cell r="L18">
            <v>339</v>
          </cell>
          <cell r="M18">
            <v>10050</v>
          </cell>
          <cell r="N18">
            <v>0.15</v>
          </cell>
          <cell r="O18">
            <v>841</v>
          </cell>
          <cell r="P18">
            <v>15832</v>
          </cell>
          <cell r="Q18">
            <v>0.2</v>
          </cell>
          <cell r="R18">
            <v>1633</v>
          </cell>
          <cell r="S18">
            <v>20081</v>
          </cell>
          <cell r="T18">
            <v>0.25</v>
          </cell>
          <cell r="U18">
            <v>2637</v>
          </cell>
          <cell r="V18">
            <v>24931</v>
          </cell>
          <cell r="W18">
            <v>0.3</v>
          </cell>
          <cell r="X18">
            <v>3883</v>
          </cell>
          <cell r="Y18">
            <v>38471</v>
          </cell>
          <cell r="Z18">
            <v>0.35</v>
          </cell>
          <cell r="AA18">
            <v>5807</v>
          </cell>
          <cell r="AB18">
            <v>53415</v>
          </cell>
          <cell r="AC18">
            <v>0.4</v>
          </cell>
          <cell r="AD18">
            <v>8478</v>
          </cell>
          <cell r="AE18">
            <v>73006</v>
          </cell>
          <cell r="AF18">
            <v>0.45</v>
          </cell>
          <cell r="AG18">
            <v>12128</v>
          </cell>
          <cell r="AH18">
            <v>225</v>
          </cell>
          <cell r="AI18">
            <v>4824</v>
          </cell>
          <cell r="AJ18">
            <v>1700</v>
          </cell>
        </row>
        <row r="19">
          <cell r="C19">
            <v>31837</v>
          </cell>
          <cell r="D19">
            <v>2868</v>
          </cell>
          <cell r="E19">
            <v>0.05</v>
          </cell>
          <cell r="F19">
            <v>143</v>
          </cell>
          <cell r="G19">
            <v>4940</v>
          </cell>
          <cell r="H19">
            <v>0.08</v>
          </cell>
          <cell r="I19">
            <v>291</v>
          </cell>
          <cell r="J19">
            <v>10008</v>
          </cell>
          <cell r="K19">
            <v>0.1</v>
          </cell>
          <cell r="L19">
            <v>491</v>
          </cell>
          <cell r="M19">
            <v>14573</v>
          </cell>
          <cell r="N19">
            <v>0.15</v>
          </cell>
          <cell r="O19">
            <v>1219</v>
          </cell>
          <cell r="P19">
            <v>22956</v>
          </cell>
          <cell r="Q19">
            <v>0.2</v>
          </cell>
          <cell r="R19">
            <v>2366</v>
          </cell>
          <cell r="S19">
            <v>29117</v>
          </cell>
          <cell r="T19">
            <v>0.25</v>
          </cell>
          <cell r="U19">
            <v>3821</v>
          </cell>
          <cell r="V19">
            <v>36150</v>
          </cell>
          <cell r="W19">
            <v>0.3</v>
          </cell>
          <cell r="X19">
            <v>5628</v>
          </cell>
          <cell r="Y19">
            <v>55783</v>
          </cell>
          <cell r="Z19">
            <v>0.35</v>
          </cell>
          <cell r="AA19">
            <v>8417</v>
          </cell>
          <cell r="AB19">
            <v>77452</v>
          </cell>
          <cell r="AC19">
            <v>0.4</v>
          </cell>
          <cell r="AD19">
            <v>12289</v>
          </cell>
          <cell r="AE19">
            <v>105858</v>
          </cell>
          <cell r="AF19">
            <v>0.45</v>
          </cell>
          <cell r="AG19">
            <v>17581</v>
          </cell>
          <cell r="AH19">
            <v>450</v>
          </cell>
          <cell r="AI19">
            <v>6840</v>
          </cell>
          <cell r="AJ19">
            <v>2400</v>
          </cell>
        </row>
        <row r="20">
          <cell r="C20">
            <v>31868</v>
          </cell>
          <cell r="D20">
            <v>2868</v>
          </cell>
          <cell r="E20">
            <v>0.05</v>
          </cell>
          <cell r="F20">
            <v>143</v>
          </cell>
          <cell r="G20">
            <v>4940</v>
          </cell>
          <cell r="H20">
            <v>0.08</v>
          </cell>
          <cell r="I20">
            <v>291</v>
          </cell>
          <cell r="J20">
            <v>10008</v>
          </cell>
          <cell r="K20">
            <v>0.1</v>
          </cell>
          <cell r="L20">
            <v>491</v>
          </cell>
          <cell r="M20">
            <v>14573</v>
          </cell>
          <cell r="N20">
            <v>0.15</v>
          </cell>
          <cell r="O20">
            <v>1219</v>
          </cell>
          <cell r="P20">
            <v>22956</v>
          </cell>
          <cell r="Q20">
            <v>0.2</v>
          </cell>
          <cell r="R20">
            <v>2366</v>
          </cell>
          <cell r="S20">
            <v>29117</v>
          </cell>
          <cell r="T20">
            <v>0.25</v>
          </cell>
          <cell r="U20">
            <v>3821</v>
          </cell>
          <cell r="V20">
            <v>36150</v>
          </cell>
          <cell r="W20">
            <v>0.3</v>
          </cell>
          <cell r="X20">
            <v>5628</v>
          </cell>
          <cell r="Y20">
            <v>55783</v>
          </cell>
          <cell r="Z20">
            <v>0.35</v>
          </cell>
          <cell r="AA20">
            <v>8417</v>
          </cell>
          <cell r="AB20">
            <v>77452</v>
          </cell>
          <cell r="AC20">
            <v>0.4</v>
          </cell>
          <cell r="AD20">
            <v>12289</v>
          </cell>
          <cell r="AE20">
            <v>105858</v>
          </cell>
          <cell r="AF20">
            <v>0.45</v>
          </cell>
          <cell r="AG20">
            <v>17581</v>
          </cell>
          <cell r="AH20">
            <v>450</v>
          </cell>
          <cell r="AI20">
            <v>6840</v>
          </cell>
          <cell r="AJ20">
            <v>2400</v>
          </cell>
        </row>
        <row r="21">
          <cell r="C21">
            <v>31898</v>
          </cell>
          <cell r="D21">
            <v>2868</v>
          </cell>
          <cell r="E21">
            <v>0.05</v>
          </cell>
          <cell r="F21">
            <v>143</v>
          </cell>
          <cell r="G21">
            <v>4940</v>
          </cell>
          <cell r="H21">
            <v>0.08</v>
          </cell>
          <cell r="I21">
            <v>291</v>
          </cell>
          <cell r="J21">
            <v>10008</v>
          </cell>
          <cell r="K21">
            <v>0.1</v>
          </cell>
          <cell r="L21">
            <v>491</v>
          </cell>
          <cell r="M21">
            <v>14573</v>
          </cell>
          <cell r="N21">
            <v>0.15</v>
          </cell>
          <cell r="O21">
            <v>1219</v>
          </cell>
          <cell r="P21">
            <v>22956</v>
          </cell>
          <cell r="Q21">
            <v>0.2</v>
          </cell>
          <cell r="R21">
            <v>2366</v>
          </cell>
          <cell r="S21">
            <v>29117</v>
          </cell>
          <cell r="T21">
            <v>0.25</v>
          </cell>
          <cell r="U21">
            <v>3821</v>
          </cell>
          <cell r="V21">
            <v>36150</v>
          </cell>
          <cell r="W21">
            <v>0.3</v>
          </cell>
          <cell r="X21">
            <v>5628</v>
          </cell>
          <cell r="Y21">
            <v>55783</v>
          </cell>
          <cell r="Z21">
            <v>0.35</v>
          </cell>
          <cell r="AA21">
            <v>8417</v>
          </cell>
          <cell r="AB21">
            <v>77452</v>
          </cell>
          <cell r="AC21">
            <v>0.4</v>
          </cell>
          <cell r="AD21">
            <v>12289</v>
          </cell>
          <cell r="AE21">
            <v>105858</v>
          </cell>
          <cell r="AF21">
            <v>0.45</v>
          </cell>
          <cell r="AG21">
            <v>17581</v>
          </cell>
          <cell r="AH21">
            <v>450</v>
          </cell>
          <cell r="AI21">
            <v>8208</v>
          </cell>
          <cell r="AJ21">
            <v>2400</v>
          </cell>
        </row>
        <row r="22">
          <cell r="C22">
            <v>31929</v>
          </cell>
          <cell r="D22">
            <v>4761</v>
          </cell>
          <cell r="E22">
            <v>0.05</v>
          </cell>
          <cell r="F22">
            <v>238</v>
          </cell>
          <cell r="G22">
            <v>8200</v>
          </cell>
          <cell r="H22">
            <v>0.08</v>
          </cell>
          <cell r="I22">
            <v>484</v>
          </cell>
          <cell r="J22">
            <v>16613</v>
          </cell>
          <cell r="K22">
            <v>0.1</v>
          </cell>
          <cell r="L22">
            <v>816</v>
          </cell>
          <cell r="M22">
            <v>24191</v>
          </cell>
          <cell r="N22">
            <v>0.15</v>
          </cell>
          <cell r="O22">
            <v>2025</v>
          </cell>
          <cell r="P22">
            <v>38107</v>
          </cell>
          <cell r="Q22">
            <v>0.2</v>
          </cell>
          <cell r="R22">
            <v>3930</v>
          </cell>
          <cell r="S22">
            <v>48334</v>
          </cell>
          <cell r="T22">
            <v>0.25</v>
          </cell>
          <cell r="U22">
            <v>6346</v>
          </cell>
          <cell r="V22">
            <v>60009</v>
          </cell>
          <cell r="W22">
            <v>0.3</v>
          </cell>
          <cell r="X22">
            <v>9346</v>
          </cell>
          <cell r="Y22">
            <v>92600</v>
          </cell>
          <cell r="Z22">
            <v>0.35</v>
          </cell>
          <cell r="AA22">
            <v>13976</v>
          </cell>
          <cell r="AB22">
            <v>128570</v>
          </cell>
          <cell r="AC22">
            <v>0.4</v>
          </cell>
          <cell r="AD22">
            <v>20404</v>
          </cell>
          <cell r="AE22">
            <v>175724</v>
          </cell>
          <cell r="AF22">
            <v>0.45</v>
          </cell>
          <cell r="AG22">
            <v>29190</v>
          </cell>
          <cell r="AH22">
            <v>750</v>
          </cell>
          <cell r="AI22">
            <v>9849.6</v>
          </cell>
          <cell r="AJ22">
            <v>4000</v>
          </cell>
        </row>
        <row r="23">
          <cell r="C23">
            <v>31959</v>
          </cell>
          <cell r="D23">
            <v>4761</v>
          </cell>
          <cell r="E23">
            <v>0.05</v>
          </cell>
          <cell r="F23">
            <v>238</v>
          </cell>
          <cell r="G23">
            <v>8200</v>
          </cell>
          <cell r="H23">
            <v>0.08</v>
          </cell>
          <cell r="I23">
            <v>484</v>
          </cell>
          <cell r="J23">
            <v>16613</v>
          </cell>
          <cell r="K23">
            <v>0.1</v>
          </cell>
          <cell r="L23">
            <v>816</v>
          </cell>
          <cell r="M23">
            <v>24191</v>
          </cell>
          <cell r="N23">
            <v>0.15</v>
          </cell>
          <cell r="O23">
            <v>2025</v>
          </cell>
          <cell r="P23">
            <v>38107</v>
          </cell>
          <cell r="Q23">
            <v>0.2</v>
          </cell>
          <cell r="R23">
            <v>3930</v>
          </cell>
          <cell r="S23">
            <v>48334</v>
          </cell>
          <cell r="T23">
            <v>0.25</v>
          </cell>
          <cell r="U23">
            <v>6346</v>
          </cell>
          <cell r="V23">
            <v>60009</v>
          </cell>
          <cell r="W23">
            <v>0.3</v>
          </cell>
          <cell r="X23">
            <v>9346</v>
          </cell>
          <cell r="Y23">
            <v>92600</v>
          </cell>
          <cell r="Z23">
            <v>0.35</v>
          </cell>
          <cell r="AA23">
            <v>13976</v>
          </cell>
          <cell r="AB23">
            <v>128570</v>
          </cell>
          <cell r="AC23">
            <v>0.4</v>
          </cell>
          <cell r="AD23">
            <v>20404</v>
          </cell>
          <cell r="AE23">
            <v>175724</v>
          </cell>
          <cell r="AF23">
            <v>0.45</v>
          </cell>
          <cell r="AG23">
            <v>29190</v>
          </cell>
          <cell r="AH23">
            <v>750</v>
          </cell>
          <cell r="AI23">
            <v>9849.6</v>
          </cell>
          <cell r="AJ23">
            <v>4000</v>
          </cell>
        </row>
        <row r="24">
          <cell r="C24">
            <v>31990</v>
          </cell>
          <cell r="D24">
            <v>4761</v>
          </cell>
          <cell r="E24">
            <v>0.05</v>
          </cell>
          <cell r="F24">
            <v>238</v>
          </cell>
          <cell r="G24">
            <v>8200</v>
          </cell>
          <cell r="H24">
            <v>0.08</v>
          </cell>
          <cell r="I24">
            <v>484</v>
          </cell>
          <cell r="J24">
            <v>16613</v>
          </cell>
          <cell r="K24">
            <v>0.1</v>
          </cell>
          <cell r="L24">
            <v>816</v>
          </cell>
          <cell r="M24">
            <v>24191</v>
          </cell>
          <cell r="N24">
            <v>0.15</v>
          </cell>
          <cell r="O24">
            <v>2025</v>
          </cell>
          <cell r="P24">
            <v>38107</v>
          </cell>
          <cell r="Q24">
            <v>0.2</v>
          </cell>
          <cell r="R24">
            <v>3930</v>
          </cell>
          <cell r="S24">
            <v>48334</v>
          </cell>
          <cell r="T24">
            <v>0.25</v>
          </cell>
          <cell r="U24">
            <v>6346</v>
          </cell>
          <cell r="V24">
            <v>60009</v>
          </cell>
          <cell r="W24">
            <v>0.3</v>
          </cell>
          <cell r="X24">
            <v>9346</v>
          </cell>
          <cell r="Y24">
            <v>92600</v>
          </cell>
          <cell r="Z24">
            <v>0.35</v>
          </cell>
          <cell r="AA24">
            <v>13976</v>
          </cell>
          <cell r="AB24">
            <v>128570</v>
          </cell>
          <cell r="AC24">
            <v>0.4</v>
          </cell>
          <cell r="AD24">
            <v>20404</v>
          </cell>
          <cell r="AE24">
            <v>175724</v>
          </cell>
          <cell r="AF24">
            <v>0.45</v>
          </cell>
          <cell r="AG24">
            <v>29190</v>
          </cell>
          <cell r="AH24">
            <v>750</v>
          </cell>
          <cell r="AI24">
            <v>9849.6</v>
          </cell>
          <cell r="AJ24">
            <v>4000</v>
          </cell>
        </row>
        <row r="25">
          <cell r="C25">
            <v>32021</v>
          </cell>
          <cell r="D25">
            <v>4761</v>
          </cell>
          <cell r="E25">
            <v>0.05</v>
          </cell>
          <cell r="F25">
            <v>238</v>
          </cell>
          <cell r="G25">
            <v>5338</v>
          </cell>
          <cell r="H25">
            <v>0.1</v>
          </cell>
          <cell r="I25">
            <v>504</v>
          </cell>
          <cell r="J25">
            <v>21094</v>
          </cell>
          <cell r="K25">
            <v>0.15</v>
          </cell>
          <cell r="L25">
            <v>1558</v>
          </cell>
          <cell r="M25">
            <v>30752</v>
          </cell>
          <cell r="N25">
            <v>0.2</v>
          </cell>
          <cell r="O25">
            <v>3095</v>
          </cell>
          <cell r="P25">
            <v>47543</v>
          </cell>
          <cell r="Q25">
            <v>0.25</v>
          </cell>
          <cell r="R25">
            <v>5472</v>
          </cell>
          <cell r="S25">
            <v>52490</v>
          </cell>
          <cell r="T25">
            <v>0.3</v>
          </cell>
          <cell r="U25">
            <v>8096</v>
          </cell>
          <cell r="V25">
            <v>82547</v>
          </cell>
          <cell r="W25">
            <v>0.35</v>
          </cell>
          <cell r="X25">
            <v>12223</v>
          </cell>
          <cell r="Y25">
            <v>99219</v>
          </cell>
          <cell r="Z25">
            <v>0.4</v>
          </cell>
          <cell r="AA25">
            <v>17183</v>
          </cell>
          <cell r="AB25">
            <v>133811</v>
          </cell>
          <cell r="AC25">
            <v>0.45</v>
          </cell>
          <cell r="AD25">
            <v>23873</v>
          </cell>
          <cell r="AE25">
            <v>165850</v>
          </cell>
          <cell r="AF25">
            <v>0.5</v>
          </cell>
          <cell r="AG25">
            <v>165850</v>
          </cell>
          <cell r="AH25">
            <v>2000</v>
          </cell>
          <cell r="AI25">
            <v>10311.549999999999</v>
          </cell>
          <cell r="AJ25">
            <v>4000</v>
          </cell>
        </row>
        <row r="26">
          <cell r="C26">
            <v>32051</v>
          </cell>
          <cell r="D26">
            <v>4761</v>
          </cell>
          <cell r="E26">
            <v>0.05</v>
          </cell>
          <cell r="F26">
            <v>238</v>
          </cell>
          <cell r="G26">
            <v>5338</v>
          </cell>
          <cell r="H26">
            <v>0.1</v>
          </cell>
          <cell r="I26">
            <v>504</v>
          </cell>
          <cell r="J26">
            <v>21094</v>
          </cell>
          <cell r="K26">
            <v>0.15</v>
          </cell>
          <cell r="L26">
            <v>1558</v>
          </cell>
          <cell r="M26">
            <v>30752</v>
          </cell>
          <cell r="N26">
            <v>0.2</v>
          </cell>
          <cell r="O26">
            <v>3095</v>
          </cell>
          <cell r="P26">
            <v>47543</v>
          </cell>
          <cell r="Q26">
            <v>0.25</v>
          </cell>
          <cell r="R26">
            <v>5472</v>
          </cell>
          <cell r="S26">
            <v>52490</v>
          </cell>
          <cell r="T26">
            <v>0.3</v>
          </cell>
          <cell r="U26">
            <v>8096</v>
          </cell>
          <cell r="V26">
            <v>82547</v>
          </cell>
          <cell r="W26">
            <v>0.35</v>
          </cell>
          <cell r="X26">
            <v>12223</v>
          </cell>
          <cell r="Y26">
            <v>99219</v>
          </cell>
          <cell r="Z26">
            <v>0.4</v>
          </cell>
          <cell r="AA26">
            <v>17183</v>
          </cell>
          <cell r="AB26">
            <v>133811</v>
          </cell>
          <cell r="AC26">
            <v>0.45</v>
          </cell>
          <cell r="AD26">
            <v>23873</v>
          </cell>
          <cell r="AE26">
            <v>165850</v>
          </cell>
          <cell r="AF26">
            <v>0.5</v>
          </cell>
          <cell r="AG26">
            <v>165850</v>
          </cell>
          <cell r="AH26">
            <v>2000</v>
          </cell>
          <cell r="AI26">
            <v>10795.150000000001</v>
          </cell>
          <cell r="AJ26">
            <v>4000</v>
          </cell>
        </row>
        <row r="27">
          <cell r="C27">
            <v>32082</v>
          </cell>
          <cell r="D27">
            <v>4761</v>
          </cell>
          <cell r="E27">
            <v>0.05</v>
          </cell>
          <cell r="F27">
            <v>238</v>
          </cell>
          <cell r="G27">
            <v>5338</v>
          </cell>
          <cell r="H27">
            <v>0.1</v>
          </cell>
          <cell r="I27">
            <v>504</v>
          </cell>
          <cell r="J27">
            <v>21094</v>
          </cell>
          <cell r="K27">
            <v>0.15</v>
          </cell>
          <cell r="L27">
            <v>1558</v>
          </cell>
          <cell r="M27">
            <v>30752</v>
          </cell>
          <cell r="N27">
            <v>0.2</v>
          </cell>
          <cell r="O27">
            <v>3095</v>
          </cell>
          <cell r="P27">
            <v>47543</v>
          </cell>
          <cell r="Q27">
            <v>0.25</v>
          </cell>
          <cell r="R27">
            <v>5472</v>
          </cell>
          <cell r="S27">
            <v>52490</v>
          </cell>
          <cell r="T27">
            <v>0.3</v>
          </cell>
          <cell r="U27">
            <v>8096</v>
          </cell>
          <cell r="V27">
            <v>82547</v>
          </cell>
          <cell r="W27">
            <v>0.35</v>
          </cell>
          <cell r="X27">
            <v>12223</v>
          </cell>
          <cell r="Y27">
            <v>99219</v>
          </cell>
          <cell r="Z27">
            <v>0.4</v>
          </cell>
          <cell r="AA27">
            <v>17183</v>
          </cell>
          <cell r="AB27">
            <v>133811</v>
          </cell>
          <cell r="AC27">
            <v>0.45</v>
          </cell>
          <cell r="AD27">
            <v>23873</v>
          </cell>
          <cell r="AE27">
            <v>165850</v>
          </cell>
          <cell r="AF27">
            <v>0.5</v>
          </cell>
          <cell r="AG27">
            <v>165850</v>
          </cell>
          <cell r="AH27">
            <v>2000</v>
          </cell>
          <cell r="AI27">
            <v>11301.45</v>
          </cell>
          <cell r="AJ27">
            <v>4000</v>
          </cell>
        </row>
        <row r="28">
          <cell r="C28">
            <v>32112</v>
          </cell>
          <cell r="D28">
            <v>4761</v>
          </cell>
          <cell r="E28">
            <v>0.05</v>
          </cell>
          <cell r="F28">
            <v>238</v>
          </cell>
          <cell r="G28">
            <v>5338</v>
          </cell>
          <cell r="H28">
            <v>0.1</v>
          </cell>
          <cell r="I28">
            <v>504</v>
          </cell>
          <cell r="J28">
            <v>21094</v>
          </cell>
          <cell r="K28">
            <v>0.15</v>
          </cell>
          <cell r="L28">
            <v>1558</v>
          </cell>
          <cell r="M28">
            <v>30752</v>
          </cell>
          <cell r="N28">
            <v>0.2</v>
          </cell>
          <cell r="O28">
            <v>3095</v>
          </cell>
          <cell r="P28">
            <v>47543</v>
          </cell>
          <cell r="Q28">
            <v>0.25</v>
          </cell>
          <cell r="R28">
            <v>5472</v>
          </cell>
          <cell r="S28">
            <v>52490</v>
          </cell>
          <cell r="T28">
            <v>0.3</v>
          </cell>
          <cell r="U28">
            <v>8096</v>
          </cell>
          <cell r="V28">
            <v>82547</v>
          </cell>
          <cell r="W28">
            <v>0.35</v>
          </cell>
          <cell r="X28">
            <v>12223</v>
          </cell>
          <cell r="Y28">
            <v>99219</v>
          </cell>
          <cell r="Z28">
            <v>0.4</v>
          </cell>
          <cell r="AA28">
            <v>17183</v>
          </cell>
          <cell r="AB28">
            <v>133811</v>
          </cell>
          <cell r="AC28">
            <v>0.45</v>
          </cell>
          <cell r="AD28">
            <v>23873</v>
          </cell>
          <cell r="AE28">
            <v>165850</v>
          </cell>
          <cell r="AF28">
            <v>0.5</v>
          </cell>
          <cell r="AG28">
            <v>165850</v>
          </cell>
          <cell r="AH28">
            <v>2000</v>
          </cell>
          <cell r="AI28">
            <v>12750</v>
          </cell>
          <cell r="AJ28">
            <v>4000</v>
          </cell>
        </row>
        <row r="29">
          <cell r="C29">
            <v>32143</v>
          </cell>
          <cell r="D29">
            <v>12000</v>
          </cell>
          <cell r="E29">
            <v>0.1</v>
          </cell>
          <cell r="F29">
            <v>1200</v>
          </cell>
          <cell r="G29">
            <v>30000</v>
          </cell>
          <cell r="H29">
            <v>0.15</v>
          </cell>
          <cell r="I29">
            <v>2700</v>
          </cell>
          <cell r="J29">
            <v>60000</v>
          </cell>
          <cell r="K29">
            <v>0.2</v>
          </cell>
          <cell r="L29">
            <v>5700</v>
          </cell>
          <cell r="M29">
            <v>100000</v>
          </cell>
          <cell r="N29">
            <v>0.25</v>
          </cell>
          <cell r="O29">
            <v>10700</v>
          </cell>
          <cell r="P29">
            <v>150000</v>
          </cell>
          <cell r="Q29">
            <v>0.3</v>
          </cell>
          <cell r="R29">
            <v>18200</v>
          </cell>
          <cell r="S29">
            <v>200000</v>
          </cell>
          <cell r="T29">
            <v>0.35</v>
          </cell>
          <cell r="U29">
            <v>28200</v>
          </cell>
          <cell r="V29">
            <v>250000</v>
          </cell>
          <cell r="W29">
            <v>0.4</v>
          </cell>
          <cell r="X29">
            <v>40700</v>
          </cell>
          <cell r="Y29">
            <v>300000</v>
          </cell>
          <cell r="Z29">
            <v>0.45</v>
          </cell>
          <cell r="AA29">
            <v>55700</v>
          </cell>
          <cell r="AB29">
            <v>300000</v>
          </cell>
          <cell r="AC29">
            <v>0.45</v>
          </cell>
          <cell r="AD29">
            <v>55700</v>
          </cell>
          <cell r="AE29">
            <v>300000</v>
          </cell>
          <cell r="AF29">
            <v>0.45</v>
          </cell>
          <cell r="AG29">
            <v>55700</v>
          </cell>
          <cell r="AH29">
            <v>3500</v>
          </cell>
          <cell r="AI29">
            <v>15300</v>
          </cell>
          <cell r="AJ29">
            <v>7000</v>
          </cell>
        </row>
        <row r="30">
          <cell r="C30">
            <v>32174</v>
          </cell>
          <cell r="D30">
            <v>12000</v>
          </cell>
          <cell r="E30">
            <v>0.1</v>
          </cell>
          <cell r="F30">
            <v>1200</v>
          </cell>
          <cell r="G30">
            <v>30000</v>
          </cell>
          <cell r="H30">
            <v>0.15</v>
          </cell>
          <cell r="I30">
            <v>2700</v>
          </cell>
          <cell r="J30">
            <v>60000</v>
          </cell>
          <cell r="K30">
            <v>0.2</v>
          </cell>
          <cell r="L30">
            <v>5700</v>
          </cell>
          <cell r="M30">
            <v>100000</v>
          </cell>
          <cell r="N30">
            <v>0.25</v>
          </cell>
          <cell r="O30">
            <v>10700</v>
          </cell>
          <cell r="P30">
            <v>150000</v>
          </cell>
          <cell r="Q30">
            <v>0.3</v>
          </cell>
          <cell r="R30">
            <v>18200</v>
          </cell>
          <cell r="S30">
            <v>200000</v>
          </cell>
          <cell r="T30">
            <v>0.35</v>
          </cell>
          <cell r="U30">
            <v>28200</v>
          </cell>
          <cell r="V30">
            <v>250000</v>
          </cell>
          <cell r="W30">
            <v>0.4</v>
          </cell>
          <cell r="X30">
            <v>40700</v>
          </cell>
          <cell r="Y30">
            <v>300000</v>
          </cell>
          <cell r="Z30">
            <v>0.45</v>
          </cell>
          <cell r="AA30">
            <v>55700</v>
          </cell>
          <cell r="AB30">
            <v>300000</v>
          </cell>
          <cell r="AC30">
            <v>0.45</v>
          </cell>
          <cell r="AD30">
            <v>55700</v>
          </cell>
          <cell r="AE30">
            <v>300000</v>
          </cell>
          <cell r="AF30">
            <v>0.45</v>
          </cell>
          <cell r="AG30">
            <v>55700</v>
          </cell>
          <cell r="AH30">
            <v>3500</v>
          </cell>
          <cell r="AI30">
            <v>18000</v>
          </cell>
          <cell r="AJ30">
            <v>7000</v>
          </cell>
        </row>
        <row r="31">
          <cell r="C31">
            <v>32203</v>
          </cell>
          <cell r="D31">
            <v>12000</v>
          </cell>
          <cell r="E31">
            <v>0.1</v>
          </cell>
          <cell r="F31">
            <v>1200</v>
          </cell>
          <cell r="G31">
            <v>30000</v>
          </cell>
          <cell r="H31">
            <v>0.15</v>
          </cell>
          <cell r="I31">
            <v>2700</v>
          </cell>
          <cell r="J31">
            <v>60000</v>
          </cell>
          <cell r="K31">
            <v>0.2</v>
          </cell>
          <cell r="L31">
            <v>5700</v>
          </cell>
          <cell r="M31">
            <v>100000</v>
          </cell>
          <cell r="N31">
            <v>0.25</v>
          </cell>
          <cell r="O31">
            <v>10700</v>
          </cell>
          <cell r="P31">
            <v>150000</v>
          </cell>
          <cell r="Q31">
            <v>0.3</v>
          </cell>
          <cell r="R31">
            <v>18200</v>
          </cell>
          <cell r="S31">
            <v>200000</v>
          </cell>
          <cell r="T31">
            <v>0.35</v>
          </cell>
          <cell r="U31">
            <v>28200</v>
          </cell>
          <cell r="V31">
            <v>250000</v>
          </cell>
          <cell r="W31">
            <v>0.4</v>
          </cell>
          <cell r="X31">
            <v>40700</v>
          </cell>
          <cell r="Y31">
            <v>300000</v>
          </cell>
          <cell r="Z31">
            <v>0.45</v>
          </cell>
          <cell r="AA31">
            <v>55700</v>
          </cell>
          <cell r="AB31">
            <v>300000</v>
          </cell>
          <cell r="AC31">
            <v>0.45</v>
          </cell>
          <cell r="AD31">
            <v>55700</v>
          </cell>
          <cell r="AE31">
            <v>300000</v>
          </cell>
          <cell r="AF31">
            <v>0.45</v>
          </cell>
          <cell r="AG31">
            <v>55700</v>
          </cell>
          <cell r="AH31">
            <v>3500</v>
          </cell>
          <cell r="AI31">
            <v>21240</v>
          </cell>
          <cell r="AJ31">
            <v>7000</v>
          </cell>
        </row>
        <row r="32">
          <cell r="C32">
            <v>32234</v>
          </cell>
          <cell r="D32">
            <v>20000</v>
          </cell>
          <cell r="E32">
            <v>0.1</v>
          </cell>
          <cell r="F32">
            <v>2000</v>
          </cell>
          <cell r="G32">
            <v>53100</v>
          </cell>
          <cell r="H32">
            <v>0.15</v>
          </cell>
          <cell r="I32">
            <v>4655</v>
          </cell>
          <cell r="J32">
            <v>107400</v>
          </cell>
          <cell r="K32">
            <v>0.2</v>
          </cell>
          <cell r="L32">
            <v>10025</v>
          </cell>
          <cell r="M32">
            <v>180800</v>
          </cell>
          <cell r="N32">
            <v>0.25</v>
          </cell>
          <cell r="O32">
            <v>19065</v>
          </cell>
          <cell r="P32">
            <v>279600</v>
          </cell>
          <cell r="Q32">
            <v>0.3</v>
          </cell>
          <cell r="R32">
            <v>33045</v>
          </cell>
          <cell r="S32">
            <v>385500</v>
          </cell>
          <cell r="T32">
            <v>0.35</v>
          </cell>
          <cell r="U32">
            <v>52320</v>
          </cell>
          <cell r="V32">
            <v>520900</v>
          </cell>
          <cell r="W32">
            <v>0.4</v>
          </cell>
          <cell r="X32">
            <v>78365</v>
          </cell>
          <cell r="Y32">
            <v>621000</v>
          </cell>
          <cell r="Z32">
            <v>0.45</v>
          </cell>
          <cell r="AA32">
            <v>109415</v>
          </cell>
          <cell r="AB32">
            <v>621000</v>
          </cell>
          <cell r="AC32">
            <v>0.45</v>
          </cell>
          <cell r="AD32">
            <v>109415</v>
          </cell>
          <cell r="AE32">
            <v>621000</v>
          </cell>
          <cell r="AF32">
            <v>0.45</v>
          </cell>
          <cell r="AG32">
            <v>109415</v>
          </cell>
          <cell r="AH32">
            <v>6500</v>
          </cell>
          <cell r="AI32">
            <v>34524</v>
          </cell>
          <cell r="AJ32">
            <v>24000</v>
          </cell>
        </row>
        <row r="33">
          <cell r="C33">
            <v>32264</v>
          </cell>
          <cell r="D33">
            <v>20000</v>
          </cell>
          <cell r="E33">
            <v>0.1</v>
          </cell>
          <cell r="F33">
            <v>2000</v>
          </cell>
          <cell r="G33">
            <v>53100</v>
          </cell>
          <cell r="H33">
            <v>0.15</v>
          </cell>
          <cell r="I33">
            <v>4655</v>
          </cell>
          <cell r="J33">
            <v>107400</v>
          </cell>
          <cell r="K33">
            <v>0.2</v>
          </cell>
          <cell r="L33">
            <v>10025</v>
          </cell>
          <cell r="M33">
            <v>180800</v>
          </cell>
          <cell r="N33">
            <v>0.25</v>
          </cell>
          <cell r="O33">
            <v>19065</v>
          </cell>
          <cell r="P33">
            <v>279600</v>
          </cell>
          <cell r="Q33">
            <v>0.3</v>
          </cell>
          <cell r="R33">
            <v>33045</v>
          </cell>
          <cell r="S33">
            <v>385500</v>
          </cell>
          <cell r="T33">
            <v>0.35</v>
          </cell>
          <cell r="U33">
            <v>52320</v>
          </cell>
          <cell r="V33">
            <v>520900</v>
          </cell>
          <cell r="W33">
            <v>0.4</v>
          </cell>
          <cell r="X33">
            <v>78365</v>
          </cell>
          <cell r="Y33">
            <v>621000</v>
          </cell>
          <cell r="Z33">
            <v>0.45</v>
          </cell>
          <cell r="AA33">
            <v>109415</v>
          </cell>
          <cell r="AB33">
            <v>621000</v>
          </cell>
          <cell r="AC33">
            <v>0.45</v>
          </cell>
          <cell r="AD33">
            <v>109415</v>
          </cell>
          <cell r="AE33">
            <v>621000</v>
          </cell>
          <cell r="AF33">
            <v>0.45</v>
          </cell>
          <cell r="AG33">
            <v>109415</v>
          </cell>
          <cell r="AH33">
            <v>6500</v>
          </cell>
          <cell r="AI33">
            <v>41426</v>
          </cell>
          <cell r="AJ33">
            <v>24000</v>
          </cell>
        </row>
        <row r="34">
          <cell r="C34">
            <v>32295</v>
          </cell>
          <cell r="D34">
            <v>20000</v>
          </cell>
          <cell r="E34">
            <v>0.1</v>
          </cell>
          <cell r="F34">
            <v>2000</v>
          </cell>
          <cell r="G34">
            <v>53100</v>
          </cell>
          <cell r="H34">
            <v>0.15</v>
          </cell>
          <cell r="I34">
            <v>4655</v>
          </cell>
          <cell r="J34">
            <v>107400</v>
          </cell>
          <cell r="K34">
            <v>0.2</v>
          </cell>
          <cell r="L34">
            <v>10025</v>
          </cell>
          <cell r="M34">
            <v>180800</v>
          </cell>
          <cell r="N34">
            <v>0.25</v>
          </cell>
          <cell r="O34">
            <v>19065</v>
          </cell>
          <cell r="P34">
            <v>279600</v>
          </cell>
          <cell r="Q34">
            <v>0.3</v>
          </cell>
          <cell r="R34">
            <v>33045</v>
          </cell>
          <cell r="S34">
            <v>385500</v>
          </cell>
          <cell r="T34">
            <v>0.35</v>
          </cell>
          <cell r="U34">
            <v>52320</v>
          </cell>
          <cell r="V34">
            <v>520900</v>
          </cell>
          <cell r="W34">
            <v>0.4</v>
          </cell>
          <cell r="X34">
            <v>78365</v>
          </cell>
          <cell r="Y34">
            <v>621000</v>
          </cell>
          <cell r="Z34">
            <v>0.45</v>
          </cell>
          <cell r="AA34">
            <v>109415</v>
          </cell>
          <cell r="AB34">
            <v>621000</v>
          </cell>
          <cell r="AC34">
            <v>0.45</v>
          </cell>
          <cell r="AD34">
            <v>109415</v>
          </cell>
          <cell r="AE34">
            <v>621000</v>
          </cell>
          <cell r="AF34">
            <v>0.45</v>
          </cell>
          <cell r="AG34">
            <v>109415</v>
          </cell>
          <cell r="AH34">
            <v>6500</v>
          </cell>
          <cell r="AI34">
            <v>48888</v>
          </cell>
          <cell r="AJ34">
            <v>24000</v>
          </cell>
        </row>
        <row r="35">
          <cell r="C35">
            <v>32325</v>
          </cell>
          <cell r="D35">
            <v>33600</v>
          </cell>
          <cell r="E35">
            <v>0.1</v>
          </cell>
          <cell r="F35">
            <v>3360</v>
          </cell>
          <cell r="G35">
            <v>89200</v>
          </cell>
          <cell r="H35">
            <v>0.15</v>
          </cell>
          <cell r="I35">
            <v>7820</v>
          </cell>
          <cell r="J35">
            <v>189400</v>
          </cell>
          <cell r="K35">
            <v>0.2</v>
          </cell>
          <cell r="L35">
            <v>16840</v>
          </cell>
          <cell r="M35">
            <v>303600</v>
          </cell>
          <cell r="N35">
            <v>0.25</v>
          </cell>
          <cell r="O35">
            <v>32020</v>
          </cell>
          <cell r="P35">
            <v>469500</v>
          </cell>
          <cell r="Q35">
            <v>0.3</v>
          </cell>
          <cell r="R35">
            <v>55495</v>
          </cell>
          <cell r="S35">
            <v>647400</v>
          </cell>
          <cell r="T35">
            <v>0.35</v>
          </cell>
          <cell r="U35">
            <v>87865</v>
          </cell>
          <cell r="V35">
            <v>874700</v>
          </cell>
          <cell r="W35">
            <v>0.4</v>
          </cell>
          <cell r="X35">
            <v>131600</v>
          </cell>
          <cell r="Y35">
            <v>1042800</v>
          </cell>
          <cell r="Z35">
            <v>0.45</v>
          </cell>
          <cell r="AA35">
            <v>183740</v>
          </cell>
          <cell r="AB35">
            <v>1042800</v>
          </cell>
          <cell r="AC35">
            <v>0.45</v>
          </cell>
          <cell r="AD35">
            <v>183740</v>
          </cell>
          <cell r="AE35">
            <v>1042800</v>
          </cell>
          <cell r="AF35">
            <v>0.45</v>
          </cell>
          <cell r="AG35">
            <v>183740</v>
          </cell>
          <cell r="AH35">
            <v>10900</v>
          </cell>
          <cell r="AI35">
            <v>58632</v>
          </cell>
          <cell r="AJ35">
            <v>40300</v>
          </cell>
        </row>
        <row r="36">
          <cell r="C36">
            <v>32356</v>
          </cell>
          <cell r="D36">
            <v>33600</v>
          </cell>
          <cell r="E36">
            <v>0.1</v>
          </cell>
          <cell r="F36">
            <v>3360</v>
          </cell>
          <cell r="G36">
            <v>89200</v>
          </cell>
          <cell r="H36">
            <v>0.15</v>
          </cell>
          <cell r="I36">
            <v>7820</v>
          </cell>
          <cell r="J36">
            <v>189400</v>
          </cell>
          <cell r="K36">
            <v>0.2</v>
          </cell>
          <cell r="L36">
            <v>16840</v>
          </cell>
          <cell r="M36">
            <v>303600</v>
          </cell>
          <cell r="N36">
            <v>0.25</v>
          </cell>
          <cell r="O36">
            <v>32020</v>
          </cell>
          <cell r="P36">
            <v>469500</v>
          </cell>
          <cell r="Q36">
            <v>0.3</v>
          </cell>
          <cell r="R36">
            <v>55495</v>
          </cell>
          <cell r="S36">
            <v>647400</v>
          </cell>
          <cell r="T36">
            <v>0.35</v>
          </cell>
          <cell r="U36">
            <v>87865</v>
          </cell>
          <cell r="V36">
            <v>874700</v>
          </cell>
          <cell r="W36">
            <v>0.4</v>
          </cell>
          <cell r="X36">
            <v>131600</v>
          </cell>
          <cell r="Y36">
            <v>1042800</v>
          </cell>
          <cell r="Z36">
            <v>0.45</v>
          </cell>
          <cell r="AA36">
            <v>183740</v>
          </cell>
          <cell r="AB36">
            <v>1042800</v>
          </cell>
          <cell r="AC36">
            <v>0.45</v>
          </cell>
          <cell r="AD36">
            <v>183740</v>
          </cell>
          <cell r="AE36">
            <v>1042800</v>
          </cell>
          <cell r="AF36">
            <v>0.45</v>
          </cell>
          <cell r="AG36">
            <v>183740</v>
          </cell>
          <cell r="AH36">
            <v>10900</v>
          </cell>
          <cell r="AI36">
            <v>73248</v>
          </cell>
          <cell r="AJ36">
            <v>40300</v>
          </cell>
        </row>
        <row r="37">
          <cell r="C37">
            <v>32387</v>
          </cell>
          <cell r="D37">
            <v>33600</v>
          </cell>
          <cell r="E37">
            <v>0.1</v>
          </cell>
          <cell r="F37">
            <v>3360</v>
          </cell>
          <cell r="G37">
            <v>89200</v>
          </cell>
          <cell r="H37">
            <v>0.15</v>
          </cell>
          <cell r="I37">
            <v>7820</v>
          </cell>
          <cell r="J37">
            <v>189400</v>
          </cell>
          <cell r="K37">
            <v>0.2</v>
          </cell>
          <cell r="L37">
            <v>16840</v>
          </cell>
          <cell r="M37">
            <v>303600</v>
          </cell>
          <cell r="N37">
            <v>0.25</v>
          </cell>
          <cell r="O37">
            <v>32020</v>
          </cell>
          <cell r="P37">
            <v>469500</v>
          </cell>
          <cell r="Q37">
            <v>0.3</v>
          </cell>
          <cell r="R37">
            <v>55495</v>
          </cell>
          <cell r="S37">
            <v>647400</v>
          </cell>
          <cell r="T37">
            <v>0.35</v>
          </cell>
          <cell r="U37">
            <v>87865</v>
          </cell>
          <cell r="V37">
            <v>874700</v>
          </cell>
          <cell r="W37">
            <v>0.4</v>
          </cell>
          <cell r="X37">
            <v>131600</v>
          </cell>
          <cell r="Y37">
            <v>1042800</v>
          </cell>
          <cell r="Z37">
            <v>0.45</v>
          </cell>
          <cell r="AA37">
            <v>183740</v>
          </cell>
          <cell r="AB37">
            <v>1042800</v>
          </cell>
          <cell r="AC37">
            <v>0.45</v>
          </cell>
          <cell r="AD37">
            <v>183740</v>
          </cell>
          <cell r="AE37">
            <v>1042800</v>
          </cell>
          <cell r="AF37">
            <v>0.45</v>
          </cell>
          <cell r="AG37">
            <v>183740</v>
          </cell>
          <cell r="AH37">
            <v>10900</v>
          </cell>
          <cell r="AI37">
            <v>88914</v>
          </cell>
          <cell r="AJ37">
            <v>40300</v>
          </cell>
        </row>
        <row r="38">
          <cell r="C38">
            <v>32417</v>
          </cell>
          <cell r="D38">
            <v>62400</v>
          </cell>
          <cell r="E38">
            <v>0.1</v>
          </cell>
          <cell r="F38">
            <v>6240</v>
          </cell>
          <cell r="G38">
            <v>165600</v>
          </cell>
          <cell r="H38">
            <v>0.15</v>
          </cell>
          <cell r="I38">
            <v>14520</v>
          </cell>
          <cell r="J38">
            <v>334800</v>
          </cell>
          <cell r="K38">
            <v>0.2</v>
          </cell>
          <cell r="L38">
            <v>31260</v>
          </cell>
          <cell r="M38">
            <v>563500</v>
          </cell>
          <cell r="N38">
            <v>0.25</v>
          </cell>
          <cell r="O38">
            <v>59435</v>
          </cell>
          <cell r="P38">
            <v>871400</v>
          </cell>
          <cell r="Q38">
            <v>0.3</v>
          </cell>
          <cell r="R38">
            <v>103005</v>
          </cell>
          <cell r="S38">
            <v>1201600</v>
          </cell>
          <cell r="T38">
            <v>0.35</v>
          </cell>
          <cell r="U38">
            <v>163085</v>
          </cell>
          <cell r="V38">
            <v>1623500</v>
          </cell>
          <cell r="W38">
            <v>0.4</v>
          </cell>
          <cell r="X38">
            <v>244260</v>
          </cell>
          <cell r="Y38">
            <v>1935500</v>
          </cell>
          <cell r="Z38">
            <v>0.45</v>
          </cell>
          <cell r="AA38">
            <v>341035</v>
          </cell>
          <cell r="AB38">
            <v>1935500</v>
          </cell>
          <cell r="AC38">
            <v>0.45</v>
          </cell>
          <cell r="AD38">
            <v>341035</v>
          </cell>
          <cell r="AE38">
            <v>1935500</v>
          </cell>
          <cell r="AF38">
            <v>0.45</v>
          </cell>
          <cell r="AG38">
            <v>341035</v>
          </cell>
          <cell r="AH38">
            <v>20300</v>
          </cell>
          <cell r="AI38">
            <v>110292</v>
          </cell>
          <cell r="AJ38">
            <v>74800</v>
          </cell>
        </row>
        <row r="39">
          <cell r="C39">
            <v>32448</v>
          </cell>
          <cell r="D39">
            <v>62400</v>
          </cell>
          <cell r="E39">
            <v>0.1</v>
          </cell>
          <cell r="F39">
            <v>6240</v>
          </cell>
          <cell r="G39">
            <v>165600</v>
          </cell>
          <cell r="H39">
            <v>0.15</v>
          </cell>
          <cell r="I39">
            <v>14520</v>
          </cell>
          <cell r="J39">
            <v>334800</v>
          </cell>
          <cell r="K39">
            <v>0.2</v>
          </cell>
          <cell r="L39">
            <v>31260</v>
          </cell>
          <cell r="M39">
            <v>563500</v>
          </cell>
          <cell r="N39">
            <v>0.25</v>
          </cell>
          <cell r="O39">
            <v>59435</v>
          </cell>
          <cell r="P39">
            <v>871400</v>
          </cell>
          <cell r="Q39">
            <v>0.3</v>
          </cell>
          <cell r="R39">
            <v>103005</v>
          </cell>
          <cell r="S39">
            <v>1201600</v>
          </cell>
          <cell r="T39">
            <v>0.35</v>
          </cell>
          <cell r="U39">
            <v>163085</v>
          </cell>
          <cell r="V39">
            <v>1623500</v>
          </cell>
          <cell r="W39">
            <v>0.4</v>
          </cell>
          <cell r="X39">
            <v>244260</v>
          </cell>
          <cell r="Y39">
            <v>1935500</v>
          </cell>
          <cell r="Z39">
            <v>0.45</v>
          </cell>
          <cell r="AA39">
            <v>341035</v>
          </cell>
          <cell r="AB39">
            <v>1935500</v>
          </cell>
          <cell r="AC39">
            <v>0.45</v>
          </cell>
          <cell r="AD39">
            <v>341035</v>
          </cell>
          <cell r="AE39">
            <v>1935500</v>
          </cell>
          <cell r="AF39">
            <v>0.45</v>
          </cell>
          <cell r="AG39">
            <v>341035</v>
          </cell>
          <cell r="AH39">
            <v>20300</v>
          </cell>
          <cell r="AI39">
            <v>143332</v>
          </cell>
          <cell r="AJ39">
            <v>74800</v>
          </cell>
        </row>
        <row r="40">
          <cell r="C40">
            <v>32478</v>
          </cell>
          <cell r="D40">
            <v>62400</v>
          </cell>
          <cell r="E40">
            <v>0.1</v>
          </cell>
          <cell r="F40">
            <v>6240</v>
          </cell>
          <cell r="G40">
            <v>165600</v>
          </cell>
          <cell r="H40">
            <v>0.15</v>
          </cell>
          <cell r="I40">
            <v>14520</v>
          </cell>
          <cell r="J40">
            <v>334800</v>
          </cell>
          <cell r="K40">
            <v>0.2</v>
          </cell>
          <cell r="L40">
            <v>31260</v>
          </cell>
          <cell r="M40">
            <v>563500</v>
          </cell>
          <cell r="N40">
            <v>0.25</v>
          </cell>
          <cell r="O40">
            <v>59435</v>
          </cell>
          <cell r="P40">
            <v>871400</v>
          </cell>
          <cell r="Q40">
            <v>0.3</v>
          </cell>
          <cell r="R40">
            <v>103005</v>
          </cell>
          <cell r="S40">
            <v>1201600</v>
          </cell>
          <cell r="T40">
            <v>0.35</v>
          </cell>
          <cell r="U40">
            <v>163085</v>
          </cell>
          <cell r="V40">
            <v>1623500</v>
          </cell>
          <cell r="W40">
            <v>0.4</v>
          </cell>
          <cell r="X40">
            <v>244260</v>
          </cell>
          <cell r="Y40">
            <v>1935500</v>
          </cell>
          <cell r="Z40">
            <v>0.45</v>
          </cell>
          <cell r="AA40">
            <v>341035</v>
          </cell>
          <cell r="AB40">
            <v>1935500</v>
          </cell>
          <cell r="AC40">
            <v>0.45</v>
          </cell>
          <cell r="AD40">
            <v>341035</v>
          </cell>
          <cell r="AE40">
            <v>1935500</v>
          </cell>
          <cell r="AF40">
            <v>0.45</v>
          </cell>
          <cell r="AG40">
            <v>341035</v>
          </cell>
          <cell r="AH40">
            <v>20300</v>
          </cell>
          <cell r="AI40">
            <v>179165</v>
          </cell>
          <cell r="AJ40">
            <v>74800</v>
          </cell>
        </row>
        <row r="41">
          <cell r="C41">
            <v>32509</v>
          </cell>
          <cell r="D41">
            <v>415.2</v>
          </cell>
          <cell r="E41">
            <v>0.1</v>
          </cell>
          <cell r="F41">
            <v>41.52</v>
          </cell>
          <cell r="G41">
            <v>1384</v>
          </cell>
          <cell r="H41">
            <v>0.25</v>
          </cell>
          <cell r="I41">
            <v>249.12</v>
          </cell>
          <cell r="J41">
            <v>1384</v>
          </cell>
          <cell r="K41">
            <v>0.25</v>
          </cell>
          <cell r="L41">
            <v>249.12</v>
          </cell>
          <cell r="M41">
            <v>1384</v>
          </cell>
          <cell r="N41">
            <v>0.25</v>
          </cell>
          <cell r="O41">
            <v>249.12</v>
          </cell>
          <cell r="P41">
            <v>1384</v>
          </cell>
          <cell r="Q41">
            <v>0.25</v>
          </cell>
          <cell r="R41">
            <v>249.12</v>
          </cell>
          <cell r="S41">
            <v>1384</v>
          </cell>
          <cell r="T41">
            <v>0.25</v>
          </cell>
          <cell r="U41">
            <v>249.12</v>
          </cell>
          <cell r="V41">
            <v>1384</v>
          </cell>
          <cell r="W41">
            <v>0.25</v>
          </cell>
          <cell r="X41">
            <v>249.12</v>
          </cell>
          <cell r="Y41">
            <v>1384</v>
          </cell>
          <cell r="Z41">
            <v>0.25</v>
          </cell>
          <cell r="AA41">
            <v>249.12</v>
          </cell>
          <cell r="AB41">
            <v>1384</v>
          </cell>
          <cell r="AC41">
            <v>0.25</v>
          </cell>
          <cell r="AD41">
            <v>249.12</v>
          </cell>
          <cell r="AE41">
            <v>1384</v>
          </cell>
          <cell r="AF41">
            <v>0.25</v>
          </cell>
          <cell r="AG41">
            <v>249.12</v>
          </cell>
          <cell r="AH41">
            <v>27.68</v>
          </cell>
          <cell r="AK41">
            <v>5</v>
          </cell>
        </row>
        <row r="42">
          <cell r="C42">
            <v>32540</v>
          </cell>
          <cell r="D42">
            <v>415.2</v>
          </cell>
          <cell r="E42">
            <v>0.1</v>
          </cell>
          <cell r="F42">
            <v>41.52</v>
          </cell>
          <cell r="G42">
            <v>1384</v>
          </cell>
          <cell r="H42">
            <v>0.25</v>
          </cell>
          <cell r="I42">
            <v>249.12</v>
          </cell>
          <cell r="J42">
            <v>1384</v>
          </cell>
          <cell r="K42">
            <v>0.25</v>
          </cell>
          <cell r="L42">
            <v>249.12</v>
          </cell>
          <cell r="M42">
            <v>1384</v>
          </cell>
          <cell r="N42">
            <v>0.25</v>
          </cell>
          <cell r="O42">
            <v>249.12</v>
          </cell>
          <cell r="P42">
            <v>1384</v>
          </cell>
          <cell r="Q42">
            <v>0.25</v>
          </cell>
          <cell r="R42">
            <v>249.12</v>
          </cell>
          <cell r="S42">
            <v>1384</v>
          </cell>
          <cell r="T42">
            <v>0.25</v>
          </cell>
          <cell r="U42">
            <v>249.12</v>
          </cell>
          <cell r="V42">
            <v>1384</v>
          </cell>
          <cell r="W42">
            <v>0.25</v>
          </cell>
          <cell r="X42">
            <v>249.12</v>
          </cell>
          <cell r="Y42">
            <v>1384</v>
          </cell>
          <cell r="Z42">
            <v>0.25</v>
          </cell>
          <cell r="AA42">
            <v>249.12</v>
          </cell>
          <cell r="AB42">
            <v>1384</v>
          </cell>
          <cell r="AC42">
            <v>0.25</v>
          </cell>
          <cell r="AD42">
            <v>249.12</v>
          </cell>
          <cell r="AE42">
            <v>1384</v>
          </cell>
          <cell r="AF42">
            <v>0.25</v>
          </cell>
          <cell r="AG42">
            <v>249.12</v>
          </cell>
          <cell r="AH42">
            <v>27.68</v>
          </cell>
          <cell r="AK42">
            <v>5</v>
          </cell>
        </row>
        <row r="43">
          <cell r="C43">
            <v>32568</v>
          </cell>
          <cell r="D43">
            <v>415.2</v>
          </cell>
          <cell r="E43">
            <v>0.1</v>
          </cell>
          <cell r="F43">
            <v>41.52</v>
          </cell>
          <cell r="G43">
            <v>1384</v>
          </cell>
          <cell r="H43">
            <v>0.25</v>
          </cell>
          <cell r="I43">
            <v>249.12</v>
          </cell>
          <cell r="J43">
            <v>1384</v>
          </cell>
          <cell r="K43">
            <v>0.25</v>
          </cell>
          <cell r="L43">
            <v>249.12</v>
          </cell>
          <cell r="M43">
            <v>1384</v>
          </cell>
          <cell r="N43">
            <v>0.25</v>
          </cell>
          <cell r="O43">
            <v>249.12</v>
          </cell>
          <cell r="P43">
            <v>1384</v>
          </cell>
          <cell r="Q43">
            <v>0.25</v>
          </cell>
          <cell r="R43">
            <v>249.12</v>
          </cell>
          <cell r="S43">
            <v>1384</v>
          </cell>
          <cell r="T43">
            <v>0.25</v>
          </cell>
          <cell r="U43">
            <v>249.12</v>
          </cell>
          <cell r="V43">
            <v>1384</v>
          </cell>
          <cell r="W43">
            <v>0.25</v>
          </cell>
          <cell r="X43">
            <v>249.12</v>
          </cell>
          <cell r="Y43">
            <v>1384</v>
          </cell>
          <cell r="Z43">
            <v>0.25</v>
          </cell>
          <cell r="AA43">
            <v>249.12</v>
          </cell>
          <cell r="AB43">
            <v>1384</v>
          </cell>
          <cell r="AC43">
            <v>0.25</v>
          </cell>
          <cell r="AD43">
            <v>249.12</v>
          </cell>
          <cell r="AE43">
            <v>1384</v>
          </cell>
          <cell r="AF43">
            <v>0.25</v>
          </cell>
          <cell r="AG43">
            <v>249.12</v>
          </cell>
          <cell r="AH43">
            <v>27.68</v>
          </cell>
          <cell r="AK43">
            <v>5</v>
          </cell>
        </row>
        <row r="44">
          <cell r="C44">
            <v>32599</v>
          </cell>
          <cell r="D44">
            <v>415.2</v>
          </cell>
          <cell r="E44">
            <v>0.1</v>
          </cell>
          <cell r="F44">
            <v>41.52</v>
          </cell>
          <cell r="G44">
            <v>1384</v>
          </cell>
          <cell r="H44">
            <v>0.25</v>
          </cell>
          <cell r="I44">
            <v>249.12</v>
          </cell>
          <cell r="J44">
            <v>1384</v>
          </cell>
          <cell r="K44">
            <v>0.25</v>
          </cell>
          <cell r="L44">
            <v>249.12</v>
          </cell>
          <cell r="M44">
            <v>1384</v>
          </cell>
          <cell r="N44">
            <v>0.25</v>
          </cell>
          <cell r="O44">
            <v>249.12</v>
          </cell>
          <cell r="P44">
            <v>1384</v>
          </cell>
          <cell r="Q44">
            <v>0.25</v>
          </cell>
          <cell r="R44">
            <v>249.12</v>
          </cell>
          <cell r="S44">
            <v>1384</v>
          </cell>
          <cell r="T44">
            <v>0.25</v>
          </cell>
          <cell r="U44">
            <v>249.12</v>
          </cell>
          <cell r="V44">
            <v>1384</v>
          </cell>
          <cell r="W44">
            <v>0.25</v>
          </cell>
          <cell r="X44">
            <v>249.12</v>
          </cell>
          <cell r="Y44">
            <v>1384</v>
          </cell>
          <cell r="Z44">
            <v>0.25</v>
          </cell>
          <cell r="AA44">
            <v>249.12</v>
          </cell>
          <cell r="AB44">
            <v>1384</v>
          </cell>
          <cell r="AC44">
            <v>0.25</v>
          </cell>
          <cell r="AD44">
            <v>249.12</v>
          </cell>
          <cell r="AE44">
            <v>1384</v>
          </cell>
          <cell r="AF44">
            <v>0.25</v>
          </cell>
          <cell r="AG44">
            <v>249.12</v>
          </cell>
          <cell r="AH44">
            <v>27.68</v>
          </cell>
          <cell r="AK44">
            <v>5</v>
          </cell>
        </row>
        <row r="45">
          <cell r="C45">
            <v>32629</v>
          </cell>
          <cell r="D45">
            <v>415.2</v>
          </cell>
          <cell r="E45">
            <v>0.1</v>
          </cell>
          <cell r="F45">
            <v>41.52</v>
          </cell>
          <cell r="G45">
            <v>1384</v>
          </cell>
          <cell r="H45">
            <v>0.25</v>
          </cell>
          <cell r="I45">
            <v>249.12</v>
          </cell>
          <cell r="J45">
            <v>1384</v>
          </cell>
          <cell r="K45">
            <v>0.25</v>
          </cell>
          <cell r="L45">
            <v>249.12</v>
          </cell>
          <cell r="M45">
            <v>1384</v>
          </cell>
          <cell r="N45">
            <v>0.25</v>
          </cell>
          <cell r="O45">
            <v>249.12</v>
          </cell>
          <cell r="P45">
            <v>1384</v>
          </cell>
          <cell r="Q45">
            <v>0.25</v>
          </cell>
          <cell r="R45">
            <v>249.12</v>
          </cell>
          <cell r="S45">
            <v>1384</v>
          </cell>
          <cell r="T45">
            <v>0.25</v>
          </cell>
          <cell r="U45">
            <v>249.12</v>
          </cell>
          <cell r="V45">
            <v>1384</v>
          </cell>
          <cell r="W45">
            <v>0.25</v>
          </cell>
          <cell r="X45">
            <v>249.12</v>
          </cell>
          <cell r="Y45">
            <v>1384</v>
          </cell>
          <cell r="Z45">
            <v>0.25</v>
          </cell>
          <cell r="AA45">
            <v>249.12</v>
          </cell>
          <cell r="AB45">
            <v>1384</v>
          </cell>
          <cell r="AC45">
            <v>0.25</v>
          </cell>
          <cell r="AD45">
            <v>249.12</v>
          </cell>
          <cell r="AE45">
            <v>1384</v>
          </cell>
          <cell r="AF45">
            <v>0.25</v>
          </cell>
          <cell r="AG45">
            <v>249.12</v>
          </cell>
          <cell r="AH45">
            <v>27.68</v>
          </cell>
          <cell r="AK45">
            <v>5</v>
          </cell>
        </row>
        <row r="46">
          <cell r="C46">
            <v>32660</v>
          </cell>
          <cell r="D46">
            <v>540</v>
          </cell>
          <cell r="E46">
            <v>0.1</v>
          </cell>
          <cell r="F46">
            <v>54</v>
          </cell>
          <cell r="G46">
            <v>1800</v>
          </cell>
          <cell r="H46">
            <v>0.25</v>
          </cell>
          <cell r="I46">
            <v>324</v>
          </cell>
          <cell r="J46">
            <v>1800</v>
          </cell>
          <cell r="K46">
            <v>0.25</v>
          </cell>
          <cell r="L46">
            <v>324</v>
          </cell>
          <cell r="M46">
            <v>1800</v>
          </cell>
          <cell r="N46">
            <v>0.25</v>
          </cell>
          <cell r="O46">
            <v>324</v>
          </cell>
          <cell r="P46">
            <v>1800</v>
          </cell>
          <cell r="Q46">
            <v>0.25</v>
          </cell>
          <cell r="R46">
            <v>324</v>
          </cell>
          <cell r="S46">
            <v>1800</v>
          </cell>
          <cell r="T46">
            <v>0.25</v>
          </cell>
          <cell r="U46">
            <v>324</v>
          </cell>
          <cell r="V46">
            <v>1800</v>
          </cell>
          <cell r="W46">
            <v>0.25</v>
          </cell>
          <cell r="X46">
            <v>324</v>
          </cell>
          <cell r="Y46">
            <v>1800</v>
          </cell>
          <cell r="Z46">
            <v>0.25</v>
          </cell>
          <cell r="AA46">
            <v>324</v>
          </cell>
          <cell r="AB46">
            <v>1800</v>
          </cell>
          <cell r="AC46">
            <v>0.25</v>
          </cell>
          <cell r="AD46">
            <v>324</v>
          </cell>
          <cell r="AE46">
            <v>1800</v>
          </cell>
          <cell r="AF46">
            <v>0.25</v>
          </cell>
          <cell r="AG46">
            <v>324</v>
          </cell>
          <cell r="AH46">
            <v>36</v>
          </cell>
          <cell r="AK46">
            <v>5</v>
          </cell>
        </row>
        <row r="47">
          <cell r="C47">
            <v>32690</v>
          </cell>
          <cell r="D47">
            <v>680</v>
          </cell>
          <cell r="E47">
            <v>0.1</v>
          </cell>
          <cell r="F47">
            <v>68</v>
          </cell>
          <cell r="G47">
            <v>2266</v>
          </cell>
          <cell r="H47">
            <v>0.25</v>
          </cell>
          <cell r="I47">
            <v>407.9</v>
          </cell>
          <cell r="J47">
            <v>2266</v>
          </cell>
          <cell r="K47">
            <v>0.25</v>
          </cell>
          <cell r="L47">
            <v>407.9</v>
          </cell>
          <cell r="M47">
            <v>2266</v>
          </cell>
          <cell r="N47">
            <v>0.25</v>
          </cell>
          <cell r="O47">
            <v>407.9</v>
          </cell>
          <cell r="P47">
            <v>2266</v>
          </cell>
          <cell r="Q47">
            <v>0.25</v>
          </cell>
          <cell r="R47">
            <v>407.9</v>
          </cell>
          <cell r="S47">
            <v>2266</v>
          </cell>
          <cell r="T47">
            <v>0.25</v>
          </cell>
          <cell r="U47">
            <v>407.9</v>
          </cell>
          <cell r="V47">
            <v>2266</v>
          </cell>
          <cell r="W47">
            <v>0.25</v>
          </cell>
          <cell r="X47">
            <v>407.9</v>
          </cell>
          <cell r="Y47">
            <v>2266</v>
          </cell>
          <cell r="Z47">
            <v>0.25</v>
          </cell>
          <cell r="AA47">
            <v>407.9</v>
          </cell>
          <cell r="AB47">
            <v>2266</v>
          </cell>
          <cell r="AC47">
            <v>0.25</v>
          </cell>
          <cell r="AD47">
            <v>407.9</v>
          </cell>
          <cell r="AE47">
            <v>2266</v>
          </cell>
          <cell r="AF47">
            <v>0.25</v>
          </cell>
          <cell r="AG47">
            <v>407.9</v>
          </cell>
          <cell r="AH47">
            <v>49</v>
          </cell>
          <cell r="AK47">
            <v>5</v>
          </cell>
        </row>
        <row r="48">
          <cell r="C48">
            <v>32721</v>
          </cell>
          <cell r="D48">
            <v>876</v>
          </cell>
          <cell r="E48">
            <v>0.1</v>
          </cell>
          <cell r="F48">
            <v>87.6</v>
          </cell>
          <cell r="G48">
            <v>2918</v>
          </cell>
          <cell r="H48">
            <v>0.25</v>
          </cell>
          <cell r="I48">
            <v>525.29999999999995</v>
          </cell>
          <cell r="J48">
            <v>2918</v>
          </cell>
          <cell r="K48">
            <v>0.25</v>
          </cell>
          <cell r="L48">
            <v>525.29999999999995</v>
          </cell>
          <cell r="M48">
            <v>2918</v>
          </cell>
          <cell r="N48">
            <v>0.25</v>
          </cell>
          <cell r="O48">
            <v>525.29999999999995</v>
          </cell>
          <cell r="P48">
            <v>2918</v>
          </cell>
          <cell r="Q48">
            <v>0.25</v>
          </cell>
          <cell r="R48">
            <v>525.29999999999995</v>
          </cell>
          <cell r="S48">
            <v>2918</v>
          </cell>
          <cell r="T48">
            <v>0.25</v>
          </cell>
          <cell r="U48">
            <v>525.29999999999995</v>
          </cell>
          <cell r="V48">
            <v>2918</v>
          </cell>
          <cell r="W48">
            <v>0.25</v>
          </cell>
          <cell r="X48">
            <v>525.29999999999995</v>
          </cell>
          <cell r="Y48">
            <v>2918</v>
          </cell>
          <cell r="Z48">
            <v>0.25</v>
          </cell>
          <cell r="AA48">
            <v>525.29999999999995</v>
          </cell>
          <cell r="AB48">
            <v>2918</v>
          </cell>
          <cell r="AC48">
            <v>0.25</v>
          </cell>
          <cell r="AD48">
            <v>525.29999999999995</v>
          </cell>
          <cell r="AE48">
            <v>2918</v>
          </cell>
          <cell r="AF48">
            <v>0.25</v>
          </cell>
          <cell r="AG48">
            <v>525.29999999999995</v>
          </cell>
          <cell r="AH48">
            <v>63</v>
          </cell>
          <cell r="AK48">
            <v>5</v>
          </cell>
        </row>
        <row r="49">
          <cell r="C49">
            <v>32752</v>
          </cell>
          <cell r="D49">
            <v>1133</v>
          </cell>
          <cell r="E49">
            <v>0.1</v>
          </cell>
          <cell r="F49">
            <v>113.3</v>
          </cell>
          <cell r="G49">
            <v>3774</v>
          </cell>
          <cell r="H49">
            <v>0.25</v>
          </cell>
          <cell r="I49">
            <v>679.4</v>
          </cell>
          <cell r="J49">
            <v>3774</v>
          </cell>
          <cell r="K49">
            <v>0.25</v>
          </cell>
          <cell r="L49">
            <v>679.4</v>
          </cell>
          <cell r="M49">
            <v>3774</v>
          </cell>
          <cell r="N49">
            <v>0.25</v>
          </cell>
          <cell r="O49">
            <v>679.4</v>
          </cell>
          <cell r="P49">
            <v>3774</v>
          </cell>
          <cell r="Q49">
            <v>0.25</v>
          </cell>
          <cell r="R49">
            <v>679.4</v>
          </cell>
          <cell r="S49">
            <v>3774</v>
          </cell>
          <cell r="T49">
            <v>0.25</v>
          </cell>
          <cell r="U49">
            <v>679.4</v>
          </cell>
          <cell r="V49">
            <v>3774</v>
          </cell>
          <cell r="W49">
            <v>0.25</v>
          </cell>
          <cell r="X49">
            <v>679.4</v>
          </cell>
          <cell r="Y49">
            <v>3774</v>
          </cell>
          <cell r="Z49">
            <v>0.25</v>
          </cell>
          <cell r="AA49">
            <v>679.4</v>
          </cell>
          <cell r="AB49">
            <v>3774</v>
          </cell>
          <cell r="AC49">
            <v>0.25</v>
          </cell>
          <cell r="AD49">
            <v>679.4</v>
          </cell>
          <cell r="AE49">
            <v>3774</v>
          </cell>
          <cell r="AF49">
            <v>0.25</v>
          </cell>
          <cell r="AG49">
            <v>679.4</v>
          </cell>
          <cell r="AH49">
            <v>81</v>
          </cell>
          <cell r="AK49">
            <v>5</v>
          </cell>
        </row>
        <row r="50">
          <cell r="C50">
            <v>32782</v>
          </cell>
          <cell r="D50">
            <v>1540</v>
          </cell>
          <cell r="E50">
            <v>0.1</v>
          </cell>
          <cell r="F50">
            <v>154</v>
          </cell>
          <cell r="G50">
            <v>5131</v>
          </cell>
          <cell r="H50">
            <v>0.25</v>
          </cell>
          <cell r="I50">
            <v>923.65</v>
          </cell>
          <cell r="J50">
            <v>5131</v>
          </cell>
          <cell r="K50">
            <v>0.25</v>
          </cell>
          <cell r="L50">
            <v>923.65</v>
          </cell>
          <cell r="M50">
            <v>5131</v>
          </cell>
          <cell r="N50">
            <v>0.25</v>
          </cell>
          <cell r="O50">
            <v>923.65</v>
          </cell>
          <cell r="P50">
            <v>5131</v>
          </cell>
          <cell r="Q50">
            <v>0.25</v>
          </cell>
          <cell r="R50">
            <v>923.65</v>
          </cell>
          <cell r="S50">
            <v>5131</v>
          </cell>
          <cell r="T50">
            <v>0.25</v>
          </cell>
          <cell r="U50">
            <v>923.65</v>
          </cell>
          <cell r="V50">
            <v>5131</v>
          </cell>
          <cell r="W50">
            <v>0.25</v>
          </cell>
          <cell r="X50">
            <v>923.65</v>
          </cell>
          <cell r="Y50">
            <v>5131</v>
          </cell>
          <cell r="Z50">
            <v>0.25</v>
          </cell>
          <cell r="AA50">
            <v>923.65</v>
          </cell>
          <cell r="AB50">
            <v>5131</v>
          </cell>
          <cell r="AC50">
            <v>0.25</v>
          </cell>
          <cell r="AD50">
            <v>923.65</v>
          </cell>
          <cell r="AE50">
            <v>5131</v>
          </cell>
          <cell r="AF50">
            <v>0.25</v>
          </cell>
          <cell r="AG50">
            <v>923.65</v>
          </cell>
          <cell r="AH50">
            <v>110</v>
          </cell>
          <cell r="AK50">
            <v>5</v>
          </cell>
        </row>
        <row r="51">
          <cell r="C51">
            <v>32813</v>
          </cell>
          <cell r="D51">
            <v>2119</v>
          </cell>
          <cell r="E51">
            <v>0.1</v>
          </cell>
          <cell r="F51">
            <v>211.9</v>
          </cell>
          <cell r="G51">
            <v>7061</v>
          </cell>
          <cell r="H51">
            <v>0.25</v>
          </cell>
          <cell r="I51">
            <v>1271.05</v>
          </cell>
          <cell r="J51">
            <v>7061</v>
          </cell>
          <cell r="K51">
            <v>0.25</v>
          </cell>
          <cell r="L51">
            <v>1271.05</v>
          </cell>
          <cell r="M51">
            <v>7061</v>
          </cell>
          <cell r="N51">
            <v>0.25</v>
          </cell>
          <cell r="O51">
            <v>1271.05</v>
          </cell>
          <cell r="P51">
            <v>7061</v>
          </cell>
          <cell r="Q51">
            <v>0.25</v>
          </cell>
          <cell r="R51">
            <v>1271.05</v>
          </cell>
          <cell r="S51">
            <v>7061</v>
          </cell>
          <cell r="T51">
            <v>0.25</v>
          </cell>
          <cell r="U51">
            <v>1271.05</v>
          </cell>
          <cell r="V51">
            <v>7061</v>
          </cell>
          <cell r="W51">
            <v>0.25</v>
          </cell>
          <cell r="X51">
            <v>1271.05</v>
          </cell>
          <cell r="Y51">
            <v>7061</v>
          </cell>
          <cell r="Z51">
            <v>0.25</v>
          </cell>
          <cell r="AA51">
            <v>1271.05</v>
          </cell>
          <cell r="AB51">
            <v>7061</v>
          </cell>
          <cell r="AC51">
            <v>0.25</v>
          </cell>
          <cell r="AD51">
            <v>1271.05</v>
          </cell>
          <cell r="AE51">
            <v>7061</v>
          </cell>
          <cell r="AF51">
            <v>0.25</v>
          </cell>
          <cell r="AG51">
            <v>1271.05</v>
          </cell>
          <cell r="AH51">
            <v>152</v>
          </cell>
          <cell r="AK51">
            <v>5</v>
          </cell>
        </row>
        <row r="52">
          <cell r="C52">
            <v>32843</v>
          </cell>
          <cell r="D52">
            <v>2996</v>
          </cell>
          <cell r="E52">
            <v>0.1</v>
          </cell>
          <cell r="F52">
            <v>299.60000000000002</v>
          </cell>
          <cell r="G52">
            <v>9985</v>
          </cell>
          <cell r="H52">
            <v>0.25</v>
          </cell>
          <cell r="I52">
            <v>1797.35</v>
          </cell>
          <cell r="J52">
            <v>9985</v>
          </cell>
          <cell r="K52">
            <v>0.25</v>
          </cell>
          <cell r="L52">
            <v>1797.35</v>
          </cell>
          <cell r="M52">
            <v>9985</v>
          </cell>
          <cell r="N52">
            <v>0.25</v>
          </cell>
          <cell r="O52">
            <v>1797.35</v>
          </cell>
          <cell r="P52">
            <v>9985</v>
          </cell>
          <cell r="Q52">
            <v>0.25</v>
          </cell>
          <cell r="R52">
            <v>1797.35</v>
          </cell>
          <cell r="S52">
            <v>9985</v>
          </cell>
          <cell r="T52">
            <v>0.25</v>
          </cell>
          <cell r="U52">
            <v>1797.35</v>
          </cell>
          <cell r="V52">
            <v>9985</v>
          </cell>
          <cell r="W52">
            <v>0.25</v>
          </cell>
          <cell r="X52">
            <v>1797.35</v>
          </cell>
          <cell r="Y52">
            <v>9985</v>
          </cell>
          <cell r="Z52">
            <v>0.25</v>
          </cell>
          <cell r="AA52">
            <v>1797.35</v>
          </cell>
          <cell r="AB52">
            <v>9985</v>
          </cell>
          <cell r="AC52">
            <v>0.25</v>
          </cell>
          <cell r="AD52">
            <v>1797.35</v>
          </cell>
          <cell r="AE52">
            <v>9985</v>
          </cell>
          <cell r="AF52">
            <v>0.25</v>
          </cell>
          <cell r="AG52">
            <v>1797.35</v>
          </cell>
          <cell r="AH52">
            <v>214</v>
          </cell>
          <cell r="AK52">
            <v>5</v>
          </cell>
        </row>
        <row r="53">
          <cell r="C53">
            <v>32874</v>
          </cell>
          <cell r="D53">
            <v>6243</v>
          </cell>
          <cell r="E53">
            <v>0.1</v>
          </cell>
          <cell r="F53">
            <v>624.29999999999995</v>
          </cell>
          <cell r="G53">
            <v>20808</v>
          </cell>
          <cell r="H53">
            <v>0.25</v>
          </cell>
          <cell r="I53">
            <v>3745.5</v>
          </cell>
          <cell r="J53">
            <v>20808</v>
          </cell>
          <cell r="K53">
            <v>0.25</v>
          </cell>
          <cell r="L53">
            <v>3745.5</v>
          </cell>
          <cell r="M53">
            <v>20808</v>
          </cell>
          <cell r="N53">
            <v>0.25</v>
          </cell>
          <cell r="O53">
            <v>3745.5</v>
          </cell>
          <cell r="P53">
            <v>20808</v>
          </cell>
          <cell r="Q53">
            <v>0.25</v>
          </cell>
          <cell r="R53">
            <v>3745.5</v>
          </cell>
          <cell r="S53">
            <v>20808</v>
          </cell>
          <cell r="T53">
            <v>0.25</v>
          </cell>
          <cell r="U53">
            <v>3745.5</v>
          </cell>
          <cell r="V53">
            <v>20808</v>
          </cell>
          <cell r="W53">
            <v>0.25</v>
          </cell>
          <cell r="X53">
            <v>3745.5</v>
          </cell>
          <cell r="Y53">
            <v>20808</v>
          </cell>
          <cell r="Z53">
            <v>0.25</v>
          </cell>
          <cell r="AA53">
            <v>3745.5</v>
          </cell>
          <cell r="AB53">
            <v>20808</v>
          </cell>
          <cell r="AC53">
            <v>0.25</v>
          </cell>
          <cell r="AD53">
            <v>3745.5</v>
          </cell>
          <cell r="AE53">
            <v>20808</v>
          </cell>
          <cell r="AF53">
            <v>0.25</v>
          </cell>
          <cell r="AG53">
            <v>3745.5</v>
          </cell>
          <cell r="AH53">
            <v>438</v>
          </cell>
        </row>
        <row r="54">
          <cell r="C54">
            <v>32905</v>
          </cell>
          <cell r="D54">
            <v>9745</v>
          </cell>
          <cell r="E54">
            <v>0.1</v>
          </cell>
          <cell r="F54">
            <v>974.5</v>
          </cell>
          <cell r="G54">
            <v>32484</v>
          </cell>
          <cell r="H54">
            <v>0.25</v>
          </cell>
          <cell r="I54">
            <v>5847.1</v>
          </cell>
          <cell r="J54">
            <v>32484</v>
          </cell>
          <cell r="K54">
            <v>0.25</v>
          </cell>
          <cell r="L54">
            <v>5847.1</v>
          </cell>
          <cell r="M54">
            <v>32484</v>
          </cell>
          <cell r="N54">
            <v>0.25</v>
          </cell>
          <cell r="O54">
            <v>5847.1</v>
          </cell>
          <cell r="P54">
            <v>32484</v>
          </cell>
          <cell r="Q54">
            <v>0.25</v>
          </cell>
          <cell r="R54">
            <v>5847.1</v>
          </cell>
          <cell r="S54">
            <v>32484</v>
          </cell>
          <cell r="T54">
            <v>0.25</v>
          </cell>
          <cell r="U54">
            <v>5847.1</v>
          </cell>
          <cell r="V54">
            <v>32484</v>
          </cell>
          <cell r="W54">
            <v>0.25</v>
          </cell>
          <cell r="X54">
            <v>5847.1</v>
          </cell>
          <cell r="Y54">
            <v>32484</v>
          </cell>
          <cell r="Z54">
            <v>0.25</v>
          </cell>
          <cell r="AA54">
            <v>5847.1</v>
          </cell>
          <cell r="AB54">
            <v>32484</v>
          </cell>
          <cell r="AC54">
            <v>0.25</v>
          </cell>
          <cell r="AD54">
            <v>5847.1</v>
          </cell>
          <cell r="AE54">
            <v>32484</v>
          </cell>
          <cell r="AF54">
            <v>0.25</v>
          </cell>
          <cell r="AG54">
            <v>5847.1</v>
          </cell>
          <cell r="AH54">
            <v>684</v>
          </cell>
        </row>
        <row r="55">
          <cell r="C55">
            <v>32933</v>
          </cell>
          <cell r="D55">
            <v>16838</v>
          </cell>
          <cell r="E55">
            <v>0.1</v>
          </cell>
          <cell r="F55">
            <v>1683.8</v>
          </cell>
          <cell r="G55">
            <v>56126</v>
          </cell>
          <cell r="H55">
            <v>0.25</v>
          </cell>
          <cell r="I55">
            <v>10102.700000000001</v>
          </cell>
          <cell r="J55">
            <v>56126</v>
          </cell>
          <cell r="K55">
            <v>0.25</v>
          </cell>
          <cell r="L55">
            <v>10102.700000000001</v>
          </cell>
          <cell r="M55">
            <v>56126</v>
          </cell>
          <cell r="N55">
            <v>0.25</v>
          </cell>
          <cell r="O55">
            <v>10102.700000000001</v>
          </cell>
          <cell r="P55">
            <v>56126</v>
          </cell>
          <cell r="Q55">
            <v>0.25</v>
          </cell>
          <cell r="R55">
            <v>10102.700000000001</v>
          </cell>
          <cell r="S55">
            <v>56126</v>
          </cell>
          <cell r="T55">
            <v>0.25</v>
          </cell>
          <cell r="U55">
            <v>10102.700000000001</v>
          </cell>
          <cell r="V55">
            <v>56126</v>
          </cell>
          <cell r="W55">
            <v>0.25</v>
          </cell>
          <cell r="X55">
            <v>10102.700000000001</v>
          </cell>
          <cell r="Y55">
            <v>56126</v>
          </cell>
          <cell r="Z55">
            <v>0.25</v>
          </cell>
          <cell r="AA55">
            <v>10102.700000000001</v>
          </cell>
          <cell r="AB55">
            <v>56126</v>
          </cell>
          <cell r="AC55">
            <v>0.25</v>
          </cell>
          <cell r="AD55">
            <v>10102.700000000001</v>
          </cell>
          <cell r="AE55">
            <v>56126</v>
          </cell>
          <cell r="AF55">
            <v>0.25</v>
          </cell>
          <cell r="AG55">
            <v>10102.700000000001</v>
          </cell>
          <cell r="AH55">
            <v>1182</v>
          </cell>
        </row>
        <row r="56">
          <cell r="C56">
            <v>32964</v>
          </cell>
          <cell r="D56">
            <v>23788</v>
          </cell>
          <cell r="E56">
            <v>0.1</v>
          </cell>
          <cell r="F56">
            <v>2378</v>
          </cell>
          <cell r="G56">
            <v>79295</v>
          </cell>
          <cell r="H56">
            <v>0.25</v>
          </cell>
          <cell r="I56">
            <v>14273.05</v>
          </cell>
          <cell r="J56">
            <v>79295</v>
          </cell>
          <cell r="K56">
            <v>0.25</v>
          </cell>
          <cell r="L56">
            <v>14273.05</v>
          </cell>
          <cell r="M56">
            <v>79295</v>
          </cell>
          <cell r="N56">
            <v>0.25</v>
          </cell>
          <cell r="O56">
            <v>14273.05</v>
          </cell>
          <cell r="P56">
            <v>79295</v>
          </cell>
          <cell r="Q56">
            <v>0.25</v>
          </cell>
          <cell r="R56">
            <v>14273.05</v>
          </cell>
          <cell r="S56">
            <v>79295</v>
          </cell>
          <cell r="T56">
            <v>0.25</v>
          </cell>
          <cell r="U56">
            <v>14273.05</v>
          </cell>
          <cell r="V56">
            <v>79295</v>
          </cell>
          <cell r="W56">
            <v>0.25</v>
          </cell>
          <cell r="X56">
            <v>14273.05</v>
          </cell>
          <cell r="Y56">
            <v>79295</v>
          </cell>
          <cell r="Z56">
            <v>0.25</v>
          </cell>
          <cell r="AA56">
            <v>14273.05</v>
          </cell>
          <cell r="AB56">
            <v>79295</v>
          </cell>
          <cell r="AC56">
            <v>0.25</v>
          </cell>
          <cell r="AD56">
            <v>14273.05</v>
          </cell>
          <cell r="AE56">
            <v>79295</v>
          </cell>
          <cell r="AF56">
            <v>0.25</v>
          </cell>
          <cell r="AG56">
            <v>14273.05</v>
          </cell>
          <cell r="AH56">
            <v>1669</v>
          </cell>
        </row>
        <row r="57">
          <cell r="C57">
            <v>32994</v>
          </cell>
          <cell r="D57">
            <v>23788</v>
          </cell>
          <cell r="E57">
            <v>0.1</v>
          </cell>
          <cell r="F57">
            <v>2378</v>
          </cell>
          <cell r="G57">
            <v>79295</v>
          </cell>
          <cell r="H57">
            <v>0.25</v>
          </cell>
          <cell r="I57">
            <v>14273.05</v>
          </cell>
          <cell r="J57">
            <v>79295</v>
          </cell>
          <cell r="K57">
            <v>0.25</v>
          </cell>
          <cell r="L57">
            <v>14273.05</v>
          </cell>
          <cell r="M57">
            <v>79295</v>
          </cell>
          <cell r="N57">
            <v>0.25</v>
          </cell>
          <cell r="O57">
            <v>14273.05</v>
          </cell>
          <cell r="P57">
            <v>79295</v>
          </cell>
          <cell r="Q57">
            <v>0.25</v>
          </cell>
          <cell r="R57">
            <v>14273.05</v>
          </cell>
          <cell r="S57">
            <v>79295</v>
          </cell>
          <cell r="T57">
            <v>0.25</v>
          </cell>
          <cell r="U57">
            <v>14273.05</v>
          </cell>
          <cell r="V57">
            <v>79295</v>
          </cell>
          <cell r="W57">
            <v>0.25</v>
          </cell>
          <cell r="X57">
            <v>14273.05</v>
          </cell>
          <cell r="Y57">
            <v>79295</v>
          </cell>
          <cell r="Z57">
            <v>0.25</v>
          </cell>
          <cell r="AA57">
            <v>14273.05</v>
          </cell>
          <cell r="AB57">
            <v>79295</v>
          </cell>
          <cell r="AC57">
            <v>0.25</v>
          </cell>
          <cell r="AD57">
            <v>14273.05</v>
          </cell>
          <cell r="AE57">
            <v>79295</v>
          </cell>
          <cell r="AF57">
            <v>0.25</v>
          </cell>
          <cell r="AG57">
            <v>14273.05</v>
          </cell>
          <cell r="AH57">
            <v>1669</v>
          </cell>
        </row>
        <row r="58">
          <cell r="C58">
            <v>33025</v>
          </cell>
          <cell r="D58">
            <v>25068</v>
          </cell>
          <cell r="E58">
            <v>0.1</v>
          </cell>
          <cell r="F58">
            <v>2506.8000000000002</v>
          </cell>
          <cell r="G58">
            <v>83561</v>
          </cell>
          <cell r="H58">
            <v>0.25</v>
          </cell>
          <cell r="I58">
            <v>15040.95</v>
          </cell>
          <cell r="J58">
            <v>83561</v>
          </cell>
          <cell r="K58">
            <v>0.25</v>
          </cell>
          <cell r="L58">
            <v>15040.95</v>
          </cell>
          <cell r="M58">
            <v>83561</v>
          </cell>
          <cell r="N58">
            <v>0.25</v>
          </cell>
          <cell r="O58">
            <v>15040.95</v>
          </cell>
          <cell r="P58">
            <v>83561</v>
          </cell>
          <cell r="Q58">
            <v>0.25</v>
          </cell>
          <cell r="R58">
            <v>15040.95</v>
          </cell>
          <cell r="S58">
            <v>83561</v>
          </cell>
          <cell r="T58">
            <v>0.25</v>
          </cell>
          <cell r="U58">
            <v>15040.95</v>
          </cell>
          <cell r="V58">
            <v>83561</v>
          </cell>
          <cell r="W58">
            <v>0.25</v>
          </cell>
          <cell r="X58">
            <v>15040.95</v>
          </cell>
          <cell r="Y58">
            <v>83561</v>
          </cell>
          <cell r="Z58">
            <v>0.25</v>
          </cell>
          <cell r="AA58">
            <v>15040.95</v>
          </cell>
          <cell r="AB58">
            <v>83561</v>
          </cell>
          <cell r="AC58">
            <v>0.25</v>
          </cell>
          <cell r="AD58">
            <v>15040.95</v>
          </cell>
          <cell r="AE58">
            <v>83561</v>
          </cell>
          <cell r="AF58">
            <v>0.25</v>
          </cell>
          <cell r="AG58">
            <v>15040.95</v>
          </cell>
          <cell r="AH58">
            <v>1759</v>
          </cell>
        </row>
        <row r="59">
          <cell r="C59">
            <v>33055</v>
          </cell>
          <cell r="D59">
            <v>27477</v>
          </cell>
          <cell r="E59">
            <v>0.1</v>
          </cell>
          <cell r="F59">
            <v>2747.7</v>
          </cell>
          <cell r="G59">
            <v>91591</v>
          </cell>
          <cell r="H59">
            <v>0.25</v>
          </cell>
          <cell r="I59">
            <v>16486.349999999999</v>
          </cell>
          <cell r="J59">
            <v>91591</v>
          </cell>
          <cell r="K59">
            <v>0.25</v>
          </cell>
          <cell r="L59">
            <v>16486.349999999999</v>
          </cell>
          <cell r="M59">
            <v>91591</v>
          </cell>
          <cell r="N59">
            <v>0.25</v>
          </cell>
          <cell r="O59">
            <v>16486.349999999999</v>
          </cell>
          <cell r="P59">
            <v>91591</v>
          </cell>
          <cell r="Q59">
            <v>0.25</v>
          </cell>
          <cell r="R59">
            <v>16486.349999999999</v>
          </cell>
          <cell r="S59">
            <v>91591</v>
          </cell>
          <cell r="T59">
            <v>0.25</v>
          </cell>
          <cell r="U59">
            <v>16486.349999999999</v>
          </cell>
          <cell r="V59">
            <v>91591</v>
          </cell>
          <cell r="W59">
            <v>0.25</v>
          </cell>
          <cell r="X59">
            <v>16486.349999999999</v>
          </cell>
          <cell r="Y59">
            <v>91591</v>
          </cell>
          <cell r="Z59">
            <v>0.25</v>
          </cell>
          <cell r="AA59">
            <v>16486.349999999999</v>
          </cell>
          <cell r="AB59">
            <v>91591</v>
          </cell>
          <cell r="AC59">
            <v>0.25</v>
          </cell>
          <cell r="AD59">
            <v>16486.349999999999</v>
          </cell>
          <cell r="AE59">
            <v>91591</v>
          </cell>
          <cell r="AF59">
            <v>0.25</v>
          </cell>
          <cell r="AG59">
            <v>16486.349999999999</v>
          </cell>
          <cell r="AH59">
            <v>1928</v>
          </cell>
        </row>
        <row r="60">
          <cell r="C60">
            <v>33086</v>
          </cell>
          <cell r="D60">
            <v>30442</v>
          </cell>
          <cell r="E60">
            <v>0.1</v>
          </cell>
          <cell r="F60">
            <v>3044.2</v>
          </cell>
          <cell r="G60">
            <v>101473</v>
          </cell>
          <cell r="H60">
            <v>0.25</v>
          </cell>
          <cell r="I60">
            <v>18265.150000000001</v>
          </cell>
          <cell r="J60">
            <v>101473</v>
          </cell>
          <cell r="K60">
            <v>0.25</v>
          </cell>
          <cell r="L60">
            <v>18265.150000000001</v>
          </cell>
          <cell r="M60">
            <v>101473</v>
          </cell>
          <cell r="N60">
            <v>0.25</v>
          </cell>
          <cell r="O60">
            <v>18265.150000000001</v>
          </cell>
          <cell r="P60">
            <v>101473</v>
          </cell>
          <cell r="Q60">
            <v>0.25</v>
          </cell>
          <cell r="R60">
            <v>18265.150000000001</v>
          </cell>
          <cell r="S60">
            <v>101473</v>
          </cell>
          <cell r="T60">
            <v>0.25</v>
          </cell>
          <cell r="U60">
            <v>18265.150000000001</v>
          </cell>
          <cell r="V60">
            <v>101473</v>
          </cell>
          <cell r="W60">
            <v>0.25</v>
          </cell>
          <cell r="X60">
            <v>18265.150000000001</v>
          </cell>
          <cell r="Y60">
            <v>101473</v>
          </cell>
          <cell r="Z60">
            <v>0.25</v>
          </cell>
          <cell r="AA60">
            <v>18265.150000000001</v>
          </cell>
          <cell r="AB60">
            <v>101473</v>
          </cell>
          <cell r="AC60">
            <v>0.25</v>
          </cell>
          <cell r="AD60">
            <v>18265.150000000001</v>
          </cell>
          <cell r="AE60">
            <v>101473</v>
          </cell>
          <cell r="AF60">
            <v>0.25</v>
          </cell>
          <cell r="AG60">
            <v>18265.150000000001</v>
          </cell>
          <cell r="AH60">
            <v>2136</v>
          </cell>
        </row>
        <row r="61">
          <cell r="C61">
            <v>33117</v>
          </cell>
          <cell r="D61">
            <v>33663</v>
          </cell>
          <cell r="E61">
            <v>0.1</v>
          </cell>
          <cell r="F61">
            <v>3366.3</v>
          </cell>
          <cell r="G61">
            <v>112209</v>
          </cell>
          <cell r="H61">
            <v>0.25</v>
          </cell>
          <cell r="I61">
            <v>20197.650000000001</v>
          </cell>
          <cell r="J61">
            <v>112209</v>
          </cell>
          <cell r="K61">
            <v>0.25</v>
          </cell>
          <cell r="L61">
            <v>20197.650000000001</v>
          </cell>
          <cell r="M61">
            <v>112209</v>
          </cell>
          <cell r="N61">
            <v>0.25</v>
          </cell>
          <cell r="O61">
            <v>20197.650000000001</v>
          </cell>
          <cell r="P61">
            <v>112209</v>
          </cell>
          <cell r="Q61">
            <v>0.25</v>
          </cell>
          <cell r="R61">
            <v>20197.650000000001</v>
          </cell>
          <cell r="S61">
            <v>112209</v>
          </cell>
          <cell r="T61">
            <v>0.25</v>
          </cell>
          <cell r="U61">
            <v>20197.650000000001</v>
          </cell>
          <cell r="V61">
            <v>112209</v>
          </cell>
          <cell r="W61">
            <v>0.25</v>
          </cell>
          <cell r="X61">
            <v>20197.650000000001</v>
          </cell>
          <cell r="Y61">
            <v>112209</v>
          </cell>
          <cell r="Z61">
            <v>0.25</v>
          </cell>
          <cell r="AA61">
            <v>20197.650000000001</v>
          </cell>
          <cell r="AB61">
            <v>112209</v>
          </cell>
          <cell r="AC61">
            <v>0.25</v>
          </cell>
          <cell r="AD61">
            <v>20197.650000000001</v>
          </cell>
          <cell r="AE61">
            <v>112209</v>
          </cell>
          <cell r="AF61">
            <v>0.25</v>
          </cell>
          <cell r="AG61">
            <v>20197.650000000001</v>
          </cell>
          <cell r="AH61">
            <v>2362</v>
          </cell>
        </row>
        <row r="62">
          <cell r="C62">
            <v>33147</v>
          </cell>
          <cell r="D62">
            <v>37989</v>
          </cell>
          <cell r="E62">
            <v>0.1</v>
          </cell>
          <cell r="F62">
            <v>3798.9</v>
          </cell>
          <cell r="G62">
            <v>126628</v>
          </cell>
          <cell r="H62">
            <v>0.25</v>
          </cell>
          <cell r="I62">
            <v>22793.1</v>
          </cell>
          <cell r="J62">
            <v>126628</v>
          </cell>
          <cell r="K62">
            <v>0.25</v>
          </cell>
          <cell r="L62">
            <v>22793.1</v>
          </cell>
          <cell r="M62">
            <v>126628</v>
          </cell>
          <cell r="N62">
            <v>0.25</v>
          </cell>
          <cell r="O62">
            <v>22793.1</v>
          </cell>
          <cell r="P62">
            <v>126628</v>
          </cell>
          <cell r="Q62">
            <v>0.25</v>
          </cell>
          <cell r="R62">
            <v>22793.1</v>
          </cell>
          <cell r="S62">
            <v>126628</v>
          </cell>
          <cell r="T62">
            <v>0.25</v>
          </cell>
          <cell r="U62">
            <v>22793.1</v>
          </cell>
          <cell r="V62">
            <v>126628</v>
          </cell>
          <cell r="W62">
            <v>0.25</v>
          </cell>
          <cell r="X62">
            <v>22793.1</v>
          </cell>
          <cell r="Y62">
            <v>126628</v>
          </cell>
          <cell r="Z62">
            <v>0.25</v>
          </cell>
          <cell r="AA62">
            <v>22793.1</v>
          </cell>
          <cell r="AB62">
            <v>126628</v>
          </cell>
          <cell r="AC62">
            <v>0.25</v>
          </cell>
          <cell r="AD62">
            <v>22793.1</v>
          </cell>
          <cell r="AE62">
            <v>126628</v>
          </cell>
          <cell r="AF62">
            <v>0.25</v>
          </cell>
          <cell r="AG62">
            <v>22793.1</v>
          </cell>
          <cell r="AH62">
            <v>2666</v>
          </cell>
        </row>
        <row r="63">
          <cell r="C63">
            <v>33178</v>
          </cell>
          <cell r="D63">
            <v>43197</v>
          </cell>
          <cell r="E63">
            <v>0.1</v>
          </cell>
          <cell r="F63">
            <v>4319.7</v>
          </cell>
          <cell r="G63">
            <v>143989</v>
          </cell>
          <cell r="H63">
            <v>0.25</v>
          </cell>
          <cell r="I63">
            <v>25918.05</v>
          </cell>
          <cell r="J63">
            <v>143989</v>
          </cell>
          <cell r="K63">
            <v>0.25</v>
          </cell>
          <cell r="L63">
            <v>25918.05</v>
          </cell>
          <cell r="M63">
            <v>143989</v>
          </cell>
          <cell r="N63">
            <v>0.25</v>
          </cell>
          <cell r="O63">
            <v>25918.05</v>
          </cell>
          <cell r="P63">
            <v>143989</v>
          </cell>
          <cell r="Q63">
            <v>0.25</v>
          </cell>
          <cell r="R63">
            <v>25918.05</v>
          </cell>
          <cell r="S63">
            <v>143989</v>
          </cell>
          <cell r="T63">
            <v>0.25</v>
          </cell>
          <cell r="U63">
            <v>25918.05</v>
          </cell>
          <cell r="V63">
            <v>143989</v>
          </cell>
          <cell r="W63">
            <v>0.25</v>
          </cell>
          <cell r="X63">
            <v>25918.05</v>
          </cell>
          <cell r="Y63">
            <v>143989</v>
          </cell>
          <cell r="Z63">
            <v>0.25</v>
          </cell>
          <cell r="AA63">
            <v>25918.05</v>
          </cell>
          <cell r="AB63">
            <v>143989</v>
          </cell>
          <cell r="AC63">
            <v>0.25</v>
          </cell>
          <cell r="AD63">
            <v>25918.05</v>
          </cell>
          <cell r="AE63">
            <v>143989</v>
          </cell>
          <cell r="AF63">
            <v>0.25</v>
          </cell>
          <cell r="AG63">
            <v>25918.05</v>
          </cell>
          <cell r="AH63">
            <v>3031</v>
          </cell>
        </row>
        <row r="64">
          <cell r="C64">
            <v>33208</v>
          </cell>
          <cell r="D64">
            <v>50385</v>
          </cell>
          <cell r="E64">
            <v>0.1</v>
          </cell>
          <cell r="F64">
            <v>5038.5</v>
          </cell>
          <cell r="G64">
            <v>167949</v>
          </cell>
          <cell r="H64">
            <v>0.25</v>
          </cell>
          <cell r="I64">
            <v>30230.85</v>
          </cell>
          <cell r="J64">
            <v>167949</v>
          </cell>
          <cell r="K64">
            <v>0.25</v>
          </cell>
          <cell r="L64">
            <v>30230.85</v>
          </cell>
          <cell r="M64">
            <v>167949</v>
          </cell>
          <cell r="N64">
            <v>0.25</v>
          </cell>
          <cell r="O64">
            <v>30230.85</v>
          </cell>
          <cell r="P64">
            <v>167949</v>
          </cell>
          <cell r="Q64">
            <v>0.25</v>
          </cell>
          <cell r="R64">
            <v>30230.85</v>
          </cell>
          <cell r="S64">
            <v>167949</v>
          </cell>
          <cell r="T64">
            <v>0.25</v>
          </cell>
          <cell r="U64">
            <v>30230.85</v>
          </cell>
          <cell r="V64">
            <v>167949</v>
          </cell>
          <cell r="W64">
            <v>0.25</v>
          </cell>
          <cell r="X64">
            <v>30230.85</v>
          </cell>
          <cell r="Y64">
            <v>167949</v>
          </cell>
          <cell r="Z64">
            <v>0.25</v>
          </cell>
          <cell r="AA64">
            <v>30230.85</v>
          </cell>
          <cell r="AB64">
            <v>167949</v>
          </cell>
          <cell r="AC64">
            <v>0.25</v>
          </cell>
          <cell r="AD64">
            <v>30230.85</v>
          </cell>
          <cell r="AE64">
            <v>167949</v>
          </cell>
          <cell r="AF64">
            <v>0.25</v>
          </cell>
          <cell r="AG64">
            <v>30230.85</v>
          </cell>
          <cell r="AH64">
            <v>3536</v>
          </cell>
        </row>
        <row r="65">
          <cell r="C65">
            <v>33239</v>
          </cell>
          <cell r="D65">
            <v>60154</v>
          </cell>
          <cell r="E65">
            <v>0.1</v>
          </cell>
          <cell r="F65">
            <v>6015.4</v>
          </cell>
          <cell r="G65">
            <v>200514</v>
          </cell>
          <cell r="H65">
            <v>0.25</v>
          </cell>
          <cell r="I65">
            <v>36092.5</v>
          </cell>
          <cell r="J65">
            <v>200514</v>
          </cell>
          <cell r="K65">
            <v>0.25</v>
          </cell>
          <cell r="L65">
            <v>36092.5</v>
          </cell>
          <cell r="M65">
            <v>200514</v>
          </cell>
          <cell r="N65">
            <v>0.25</v>
          </cell>
          <cell r="O65">
            <v>36092.5</v>
          </cell>
          <cell r="P65">
            <v>200514</v>
          </cell>
          <cell r="Q65">
            <v>0.25</v>
          </cell>
          <cell r="R65">
            <v>36092.5</v>
          </cell>
          <cell r="S65">
            <v>200514</v>
          </cell>
          <cell r="T65">
            <v>0.25</v>
          </cell>
          <cell r="U65">
            <v>36092.5</v>
          </cell>
          <cell r="V65">
            <v>200514</v>
          </cell>
          <cell r="W65">
            <v>0.25</v>
          </cell>
          <cell r="X65">
            <v>36092.5</v>
          </cell>
          <cell r="Y65">
            <v>200514</v>
          </cell>
          <cell r="Z65">
            <v>0.25</v>
          </cell>
          <cell r="AA65">
            <v>36092.5</v>
          </cell>
          <cell r="AB65">
            <v>200514</v>
          </cell>
          <cell r="AC65">
            <v>0.25</v>
          </cell>
          <cell r="AD65">
            <v>36092.5</v>
          </cell>
          <cell r="AE65">
            <v>200514</v>
          </cell>
          <cell r="AF65">
            <v>0.25</v>
          </cell>
          <cell r="AG65">
            <v>36092.5</v>
          </cell>
          <cell r="AH65">
            <v>4221</v>
          </cell>
        </row>
        <row r="66">
          <cell r="C66">
            <v>33270</v>
          </cell>
          <cell r="D66">
            <v>72311</v>
          </cell>
          <cell r="E66">
            <v>0.1</v>
          </cell>
          <cell r="F66">
            <v>7231.1</v>
          </cell>
          <cell r="G66">
            <v>241038</v>
          </cell>
          <cell r="H66">
            <v>0.25</v>
          </cell>
          <cell r="I66">
            <v>43386.8</v>
          </cell>
          <cell r="J66">
            <v>241038</v>
          </cell>
          <cell r="K66">
            <v>0.25</v>
          </cell>
          <cell r="L66">
            <v>43386.8</v>
          </cell>
          <cell r="M66">
            <v>241038</v>
          </cell>
          <cell r="N66">
            <v>0.25</v>
          </cell>
          <cell r="O66">
            <v>43386.8</v>
          </cell>
          <cell r="P66">
            <v>241038</v>
          </cell>
          <cell r="Q66">
            <v>0.25</v>
          </cell>
          <cell r="R66">
            <v>43386.8</v>
          </cell>
          <cell r="S66">
            <v>241038</v>
          </cell>
          <cell r="T66">
            <v>0.25</v>
          </cell>
          <cell r="U66">
            <v>43386.8</v>
          </cell>
          <cell r="V66">
            <v>241038</v>
          </cell>
          <cell r="W66">
            <v>0.25</v>
          </cell>
          <cell r="X66">
            <v>43386.8</v>
          </cell>
          <cell r="Y66">
            <v>241038</v>
          </cell>
          <cell r="Z66">
            <v>0.25</v>
          </cell>
          <cell r="AA66">
            <v>43386.8</v>
          </cell>
          <cell r="AB66">
            <v>241038</v>
          </cell>
          <cell r="AC66">
            <v>0.25</v>
          </cell>
          <cell r="AD66">
            <v>43386.8</v>
          </cell>
          <cell r="AE66">
            <v>241038</v>
          </cell>
          <cell r="AF66">
            <v>0.25</v>
          </cell>
          <cell r="AG66">
            <v>43386.8</v>
          </cell>
          <cell r="AH66">
            <v>5074</v>
          </cell>
        </row>
        <row r="67">
          <cell r="C67">
            <v>33298</v>
          </cell>
          <cell r="D67">
            <v>72311</v>
          </cell>
          <cell r="E67">
            <v>0.1</v>
          </cell>
          <cell r="F67">
            <v>7231.1</v>
          </cell>
          <cell r="G67">
            <v>241038</v>
          </cell>
          <cell r="H67">
            <v>0.25</v>
          </cell>
          <cell r="I67">
            <v>43386.8</v>
          </cell>
          <cell r="J67">
            <v>241038</v>
          </cell>
          <cell r="K67">
            <v>0.25</v>
          </cell>
          <cell r="L67">
            <v>43386.8</v>
          </cell>
          <cell r="M67">
            <v>241038</v>
          </cell>
          <cell r="N67">
            <v>0.25</v>
          </cell>
          <cell r="O67">
            <v>43386.8</v>
          </cell>
          <cell r="P67">
            <v>241038</v>
          </cell>
          <cell r="Q67">
            <v>0.25</v>
          </cell>
          <cell r="R67">
            <v>43386.8</v>
          </cell>
          <cell r="S67">
            <v>241038</v>
          </cell>
          <cell r="T67">
            <v>0.25</v>
          </cell>
          <cell r="U67">
            <v>43386.8</v>
          </cell>
          <cell r="V67">
            <v>241038</v>
          </cell>
          <cell r="W67">
            <v>0.25</v>
          </cell>
          <cell r="X67">
            <v>43386.8</v>
          </cell>
          <cell r="Y67">
            <v>241038</v>
          </cell>
          <cell r="Z67">
            <v>0.25</v>
          </cell>
          <cell r="AA67">
            <v>43386.8</v>
          </cell>
          <cell r="AB67">
            <v>241038</v>
          </cell>
          <cell r="AC67">
            <v>0.25</v>
          </cell>
          <cell r="AD67">
            <v>43386.8</v>
          </cell>
          <cell r="AE67">
            <v>241038</v>
          </cell>
          <cell r="AF67">
            <v>0.25</v>
          </cell>
          <cell r="AG67">
            <v>43386.8</v>
          </cell>
          <cell r="AH67">
            <v>5074</v>
          </cell>
        </row>
        <row r="68">
          <cell r="C68">
            <v>33329</v>
          </cell>
          <cell r="D68">
            <v>72311</v>
          </cell>
          <cell r="E68">
            <v>0.1</v>
          </cell>
          <cell r="F68">
            <v>7231.1</v>
          </cell>
          <cell r="G68">
            <v>241038</v>
          </cell>
          <cell r="H68">
            <v>0.25</v>
          </cell>
          <cell r="I68">
            <v>43386.8</v>
          </cell>
          <cell r="J68">
            <v>241038</v>
          </cell>
          <cell r="K68">
            <v>0.25</v>
          </cell>
          <cell r="L68">
            <v>43386.8</v>
          </cell>
          <cell r="M68">
            <v>241038</v>
          </cell>
          <cell r="N68">
            <v>0.25</v>
          </cell>
          <cell r="O68">
            <v>43386.8</v>
          </cell>
          <cell r="P68">
            <v>241038</v>
          </cell>
          <cell r="Q68">
            <v>0.25</v>
          </cell>
          <cell r="R68">
            <v>43386.8</v>
          </cell>
          <cell r="S68">
            <v>241038</v>
          </cell>
          <cell r="T68">
            <v>0.25</v>
          </cell>
          <cell r="U68">
            <v>43386.8</v>
          </cell>
          <cell r="V68">
            <v>241038</v>
          </cell>
          <cell r="W68">
            <v>0.25</v>
          </cell>
          <cell r="X68">
            <v>43386.8</v>
          </cell>
          <cell r="Y68">
            <v>241038</v>
          </cell>
          <cell r="Z68">
            <v>0.25</v>
          </cell>
          <cell r="AA68">
            <v>43386.8</v>
          </cell>
          <cell r="AB68">
            <v>241038</v>
          </cell>
          <cell r="AC68">
            <v>0.25</v>
          </cell>
          <cell r="AD68">
            <v>43386.8</v>
          </cell>
          <cell r="AE68">
            <v>241038</v>
          </cell>
          <cell r="AF68">
            <v>0.25</v>
          </cell>
          <cell r="AG68">
            <v>43386.8</v>
          </cell>
          <cell r="AH68">
            <v>5074</v>
          </cell>
        </row>
        <row r="69">
          <cell r="C69">
            <v>33359</v>
          </cell>
          <cell r="D69">
            <v>72311</v>
          </cell>
          <cell r="E69">
            <v>0.1</v>
          </cell>
          <cell r="F69">
            <v>7231.1</v>
          </cell>
          <cell r="G69">
            <v>241038</v>
          </cell>
          <cell r="H69">
            <v>0.25</v>
          </cell>
          <cell r="I69">
            <v>43386.8</v>
          </cell>
          <cell r="J69">
            <v>241038</v>
          </cell>
          <cell r="K69">
            <v>0.25</v>
          </cell>
          <cell r="L69">
            <v>43386.8</v>
          </cell>
          <cell r="M69">
            <v>241038</v>
          </cell>
          <cell r="N69">
            <v>0.25</v>
          </cell>
          <cell r="O69">
            <v>43386.8</v>
          </cell>
          <cell r="P69">
            <v>241038</v>
          </cell>
          <cell r="Q69">
            <v>0.25</v>
          </cell>
          <cell r="R69">
            <v>43386.8</v>
          </cell>
          <cell r="S69">
            <v>241038</v>
          </cell>
          <cell r="T69">
            <v>0.25</v>
          </cell>
          <cell r="U69">
            <v>43386.8</v>
          </cell>
          <cell r="V69">
            <v>241038</v>
          </cell>
          <cell r="W69">
            <v>0.25</v>
          </cell>
          <cell r="X69">
            <v>43386.8</v>
          </cell>
          <cell r="Y69">
            <v>241038</v>
          </cell>
          <cell r="Z69">
            <v>0.25</v>
          </cell>
          <cell r="AA69">
            <v>43386.8</v>
          </cell>
          <cell r="AB69">
            <v>241038</v>
          </cell>
          <cell r="AC69">
            <v>0.25</v>
          </cell>
          <cell r="AD69">
            <v>43386.8</v>
          </cell>
          <cell r="AE69">
            <v>241038</v>
          </cell>
          <cell r="AF69">
            <v>0.25</v>
          </cell>
          <cell r="AG69">
            <v>43386.8</v>
          </cell>
          <cell r="AH69">
            <v>5074</v>
          </cell>
        </row>
        <row r="70">
          <cell r="C70">
            <v>33390</v>
          </cell>
          <cell r="D70">
            <v>72311</v>
          </cell>
          <cell r="E70">
            <v>0.1</v>
          </cell>
          <cell r="F70">
            <v>7231.1</v>
          </cell>
          <cell r="G70">
            <v>241038</v>
          </cell>
          <cell r="H70">
            <v>0.25</v>
          </cell>
          <cell r="I70">
            <v>43386.8</v>
          </cell>
          <cell r="J70">
            <v>241038</v>
          </cell>
          <cell r="K70">
            <v>0.25</v>
          </cell>
          <cell r="L70">
            <v>43386.8</v>
          </cell>
          <cell r="M70">
            <v>241038</v>
          </cell>
          <cell r="N70">
            <v>0.25</v>
          </cell>
          <cell r="O70">
            <v>43386.8</v>
          </cell>
          <cell r="P70">
            <v>241038</v>
          </cell>
          <cell r="Q70">
            <v>0.25</v>
          </cell>
          <cell r="R70">
            <v>43386.8</v>
          </cell>
          <cell r="S70">
            <v>241038</v>
          </cell>
          <cell r="T70">
            <v>0.25</v>
          </cell>
          <cell r="U70">
            <v>43386.8</v>
          </cell>
          <cell r="V70">
            <v>241038</v>
          </cell>
          <cell r="W70">
            <v>0.25</v>
          </cell>
          <cell r="X70">
            <v>43386.8</v>
          </cell>
          <cell r="Y70">
            <v>241038</v>
          </cell>
          <cell r="Z70">
            <v>0.25</v>
          </cell>
          <cell r="AA70">
            <v>43386.8</v>
          </cell>
          <cell r="AB70">
            <v>241038</v>
          </cell>
          <cell r="AC70">
            <v>0.25</v>
          </cell>
          <cell r="AD70">
            <v>43386.8</v>
          </cell>
          <cell r="AE70">
            <v>241038</v>
          </cell>
          <cell r="AF70">
            <v>0.25</v>
          </cell>
          <cell r="AG70">
            <v>43386.8</v>
          </cell>
          <cell r="AH70">
            <v>5074</v>
          </cell>
        </row>
        <row r="71">
          <cell r="C71">
            <v>33420</v>
          </cell>
          <cell r="D71">
            <v>72311</v>
          </cell>
          <cell r="E71">
            <v>0.1</v>
          </cell>
          <cell r="F71">
            <v>7231.1</v>
          </cell>
          <cell r="G71">
            <v>241038</v>
          </cell>
          <cell r="H71">
            <v>0.25</v>
          </cell>
          <cell r="I71">
            <v>43386.8</v>
          </cell>
          <cell r="J71">
            <v>241038</v>
          </cell>
          <cell r="K71">
            <v>0.25</v>
          </cell>
          <cell r="L71">
            <v>43386.8</v>
          </cell>
          <cell r="M71">
            <v>241038</v>
          </cell>
          <cell r="N71">
            <v>0.25</v>
          </cell>
          <cell r="O71">
            <v>43386.8</v>
          </cell>
          <cell r="P71">
            <v>241038</v>
          </cell>
          <cell r="Q71">
            <v>0.25</v>
          </cell>
          <cell r="R71">
            <v>43386.8</v>
          </cell>
          <cell r="S71">
            <v>241038</v>
          </cell>
          <cell r="T71">
            <v>0.25</v>
          </cell>
          <cell r="U71">
            <v>43386.8</v>
          </cell>
          <cell r="V71">
            <v>241038</v>
          </cell>
          <cell r="W71">
            <v>0.25</v>
          </cell>
          <cell r="X71">
            <v>43386.8</v>
          </cell>
          <cell r="Y71">
            <v>241038</v>
          </cell>
          <cell r="Z71">
            <v>0.25</v>
          </cell>
          <cell r="AA71">
            <v>43386.8</v>
          </cell>
          <cell r="AB71">
            <v>241038</v>
          </cell>
          <cell r="AC71">
            <v>0.25</v>
          </cell>
          <cell r="AD71">
            <v>43386.8</v>
          </cell>
          <cell r="AE71">
            <v>241038</v>
          </cell>
          <cell r="AF71">
            <v>0.25</v>
          </cell>
          <cell r="AG71">
            <v>43386.8</v>
          </cell>
          <cell r="AH71">
            <v>5074</v>
          </cell>
          <cell r="AJ71" t="str">
            <v xml:space="preserve">                           </v>
          </cell>
        </row>
        <row r="72">
          <cell r="C72">
            <v>33451</v>
          </cell>
          <cell r="D72">
            <v>120000</v>
          </cell>
          <cell r="E72">
            <v>0.1</v>
          </cell>
          <cell r="F72">
            <v>12000</v>
          </cell>
          <cell r="G72">
            <v>400000</v>
          </cell>
          <cell r="H72">
            <v>0.25</v>
          </cell>
          <cell r="I72">
            <v>72000</v>
          </cell>
          <cell r="J72">
            <v>400000</v>
          </cell>
          <cell r="K72">
            <v>0.25</v>
          </cell>
          <cell r="L72">
            <v>72000</v>
          </cell>
          <cell r="M72">
            <v>400000</v>
          </cell>
          <cell r="N72">
            <v>0.25</v>
          </cell>
          <cell r="O72">
            <v>72000</v>
          </cell>
          <cell r="P72">
            <v>400000</v>
          </cell>
          <cell r="Q72">
            <v>0.25</v>
          </cell>
          <cell r="R72">
            <v>72000</v>
          </cell>
          <cell r="S72">
            <v>400000</v>
          </cell>
          <cell r="T72">
            <v>0.25</v>
          </cell>
          <cell r="U72">
            <v>72000</v>
          </cell>
          <cell r="V72">
            <v>400000</v>
          </cell>
          <cell r="W72">
            <v>0.25</v>
          </cell>
          <cell r="X72">
            <v>72000</v>
          </cell>
          <cell r="Y72">
            <v>400000</v>
          </cell>
          <cell r="Z72">
            <v>0.25</v>
          </cell>
          <cell r="AA72">
            <v>72000</v>
          </cell>
          <cell r="AB72">
            <v>400000</v>
          </cell>
          <cell r="AC72">
            <v>0.25</v>
          </cell>
          <cell r="AD72">
            <v>72000</v>
          </cell>
          <cell r="AE72">
            <v>400000</v>
          </cell>
          <cell r="AF72">
            <v>0.25</v>
          </cell>
          <cell r="AG72">
            <v>72000</v>
          </cell>
          <cell r="AH72">
            <v>10000</v>
          </cell>
        </row>
        <row r="73">
          <cell r="C73">
            <v>33482</v>
          </cell>
          <cell r="D73">
            <v>120000</v>
          </cell>
          <cell r="E73">
            <v>0.1</v>
          </cell>
          <cell r="F73">
            <v>12000</v>
          </cell>
          <cell r="G73">
            <v>400000</v>
          </cell>
          <cell r="H73">
            <v>0.25</v>
          </cell>
          <cell r="I73">
            <v>72000</v>
          </cell>
          <cell r="J73">
            <v>400000</v>
          </cell>
          <cell r="K73">
            <v>0.25</v>
          </cell>
          <cell r="L73">
            <v>72000</v>
          </cell>
          <cell r="M73">
            <v>400000</v>
          </cell>
          <cell r="N73">
            <v>0.25</v>
          </cell>
          <cell r="O73">
            <v>72000</v>
          </cell>
          <cell r="P73">
            <v>400000</v>
          </cell>
          <cell r="Q73">
            <v>0.25</v>
          </cell>
          <cell r="R73">
            <v>72000</v>
          </cell>
          <cell r="S73">
            <v>400000</v>
          </cell>
          <cell r="T73">
            <v>0.25</v>
          </cell>
          <cell r="U73">
            <v>72000</v>
          </cell>
          <cell r="V73">
            <v>400000</v>
          </cell>
          <cell r="W73">
            <v>0.25</v>
          </cell>
          <cell r="X73">
            <v>72000</v>
          </cell>
          <cell r="Y73">
            <v>400000</v>
          </cell>
          <cell r="Z73">
            <v>0.25</v>
          </cell>
          <cell r="AA73">
            <v>72000</v>
          </cell>
          <cell r="AB73">
            <v>400000</v>
          </cell>
          <cell r="AC73">
            <v>0.25</v>
          </cell>
          <cell r="AD73">
            <v>72000</v>
          </cell>
          <cell r="AE73">
            <v>400000</v>
          </cell>
          <cell r="AF73">
            <v>0.25</v>
          </cell>
          <cell r="AG73">
            <v>72000</v>
          </cell>
          <cell r="AH73">
            <v>10000</v>
          </cell>
        </row>
        <row r="74">
          <cell r="C74">
            <v>33512</v>
          </cell>
          <cell r="D74">
            <v>120000</v>
          </cell>
          <cell r="E74">
            <v>0.1</v>
          </cell>
          <cell r="F74">
            <v>12000</v>
          </cell>
          <cell r="G74">
            <v>400000</v>
          </cell>
          <cell r="H74">
            <v>0.25</v>
          </cell>
          <cell r="I74">
            <v>72000</v>
          </cell>
          <cell r="J74">
            <v>400000</v>
          </cell>
          <cell r="K74">
            <v>0.25</v>
          </cell>
          <cell r="L74">
            <v>72000</v>
          </cell>
          <cell r="M74">
            <v>400000</v>
          </cell>
          <cell r="N74">
            <v>0.25</v>
          </cell>
          <cell r="O74">
            <v>72000</v>
          </cell>
          <cell r="P74">
            <v>400000</v>
          </cell>
          <cell r="Q74">
            <v>0.25</v>
          </cell>
          <cell r="R74">
            <v>72000</v>
          </cell>
          <cell r="S74">
            <v>400000</v>
          </cell>
          <cell r="T74">
            <v>0.25</v>
          </cell>
          <cell r="U74">
            <v>72000</v>
          </cell>
          <cell r="V74">
            <v>400000</v>
          </cell>
          <cell r="W74">
            <v>0.25</v>
          </cell>
          <cell r="X74">
            <v>72000</v>
          </cell>
          <cell r="Y74">
            <v>400000</v>
          </cell>
          <cell r="Z74">
            <v>0.25</v>
          </cell>
          <cell r="AA74">
            <v>72000</v>
          </cell>
          <cell r="AB74">
            <v>400000</v>
          </cell>
          <cell r="AC74">
            <v>0.25</v>
          </cell>
          <cell r="AD74">
            <v>72000</v>
          </cell>
          <cell r="AE74">
            <v>400000</v>
          </cell>
          <cell r="AF74">
            <v>0.25</v>
          </cell>
          <cell r="AG74">
            <v>72000</v>
          </cell>
          <cell r="AH74">
            <v>10000</v>
          </cell>
        </row>
        <row r="75">
          <cell r="C75">
            <v>33543</v>
          </cell>
          <cell r="D75">
            <v>190000</v>
          </cell>
          <cell r="E75">
            <v>0.1</v>
          </cell>
          <cell r="F75">
            <v>19000</v>
          </cell>
          <cell r="G75">
            <v>620000</v>
          </cell>
          <cell r="H75">
            <v>0.25</v>
          </cell>
          <cell r="I75">
            <v>112000</v>
          </cell>
          <cell r="J75">
            <v>620000</v>
          </cell>
          <cell r="K75">
            <v>0.25</v>
          </cell>
          <cell r="L75">
            <v>112000</v>
          </cell>
          <cell r="M75">
            <v>620000</v>
          </cell>
          <cell r="N75">
            <v>0.25</v>
          </cell>
          <cell r="O75">
            <v>112000</v>
          </cell>
          <cell r="P75">
            <v>620000</v>
          </cell>
          <cell r="Q75">
            <v>0.25</v>
          </cell>
          <cell r="R75">
            <v>112000</v>
          </cell>
          <cell r="S75">
            <v>620000</v>
          </cell>
          <cell r="T75">
            <v>0.25</v>
          </cell>
          <cell r="U75">
            <v>112000</v>
          </cell>
          <cell r="V75">
            <v>620000</v>
          </cell>
          <cell r="W75">
            <v>0.25</v>
          </cell>
          <cell r="X75">
            <v>112000</v>
          </cell>
          <cell r="Y75">
            <v>620000</v>
          </cell>
          <cell r="Z75">
            <v>0.25</v>
          </cell>
          <cell r="AA75">
            <v>112000</v>
          </cell>
          <cell r="AB75">
            <v>620000</v>
          </cell>
          <cell r="AC75">
            <v>0.25</v>
          </cell>
          <cell r="AD75">
            <v>112000</v>
          </cell>
          <cell r="AE75">
            <v>620000</v>
          </cell>
          <cell r="AF75">
            <v>0.25</v>
          </cell>
          <cell r="AG75">
            <v>112000</v>
          </cell>
          <cell r="AH75">
            <v>16000</v>
          </cell>
        </row>
        <row r="76">
          <cell r="C76">
            <v>33573</v>
          </cell>
          <cell r="D76">
            <v>250000</v>
          </cell>
          <cell r="E76">
            <v>0.1</v>
          </cell>
          <cell r="F76">
            <v>25000</v>
          </cell>
          <cell r="G76">
            <v>750000</v>
          </cell>
          <cell r="H76">
            <v>0.25</v>
          </cell>
          <cell r="I76">
            <v>137500</v>
          </cell>
          <cell r="J76">
            <v>750000</v>
          </cell>
          <cell r="K76">
            <v>0.25</v>
          </cell>
          <cell r="L76">
            <v>137500</v>
          </cell>
          <cell r="M76">
            <v>750000</v>
          </cell>
          <cell r="N76">
            <v>0.25</v>
          </cell>
          <cell r="O76">
            <v>137500</v>
          </cell>
          <cell r="P76">
            <v>750000</v>
          </cell>
          <cell r="Q76">
            <v>0.25</v>
          </cell>
          <cell r="R76">
            <v>137500</v>
          </cell>
          <cell r="S76">
            <v>750000</v>
          </cell>
          <cell r="T76">
            <v>0.25</v>
          </cell>
          <cell r="U76">
            <v>137500</v>
          </cell>
          <cell r="V76">
            <v>750000</v>
          </cell>
          <cell r="W76">
            <v>0.25</v>
          </cell>
          <cell r="X76">
            <v>137500</v>
          </cell>
          <cell r="Y76">
            <v>750000</v>
          </cell>
          <cell r="Z76">
            <v>0.25</v>
          </cell>
          <cell r="AA76">
            <v>137500</v>
          </cell>
          <cell r="AB76">
            <v>750000</v>
          </cell>
          <cell r="AC76">
            <v>0.25</v>
          </cell>
          <cell r="AD76">
            <v>137500</v>
          </cell>
          <cell r="AE76">
            <v>750000</v>
          </cell>
          <cell r="AF76">
            <v>0.25</v>
          </cell>
          <cell r="AG76">
            <v>137500</v>
          </cell>
          <cell r="AH76">
            <v>20000</v>
          </cell>
        </row>
        <row r="77">
          <cell r="C77">
            <v>33604</v>
          </cell>
          <cell r="D77">
            <v>597060</v>
          </cell>
          <cell r="E77">
            <v>0.15</v>
          </cell>
          <cell r="F77">
            <v>89559</v>
          </cell>
          <cell r="G77">
            <v>1164267</v>
          </cell>
          <cell r="H77">
            <v>0.25</v>
          </cell>
          <cell r="I77">
            <v>205986</v>
          </cell>
          <cell r="J77">
            <v>1164267</v>
          </cell>
          <cell r="K77">
            <v>0.25</v>
          </cell>
          <cell r="L77">
            <v>205986</v>
          </cell>
          <cell r="M77">
            <v>1164267</v>
          </cell>
          <cell r="N77">
            <v>0.25</v>
          </cell>
          <cell r="O77">
            <v>205986</v>
          </cell>
          <cell r="P77">
            <v>1164267</v>
          </cell>
          <cell r="Q77">
            <v>0.25</v>
          </cell>
          <cell r="R77">
            <v>205986</v>
          </cell>
          <cell r="S77">
            <v>1164267</v>
          </cell>
          <cell r="T77">
            <v>0.25</v>
          </cell>
          <cell r="U77">
            <v>205986</v>
          </cell>
          <cell r="V77">
            <v>1164267</v>
          </cell>
          <cell r="W77">
            <v>0.25</v>
          </cell>
          <cell r="X77">
            <v>205986</v>
          </cell>
          <cell r="Y77">
            <v>1164267</v>
          </cell>
          <cell r="Z77">
            <v>0.25</v>
          </cell>
          <cell r="AA77">
            <v>205986</v>
          </cell>
          <cell r="AB77">
            <v>1164267</v>
          </cell>
          <cell r="AC77">
            <v>0.25</v>
          </cell>
          <cell r="AD77">
            <v>205986</v>
          </cell>
          <cell r="AE77">
            <v>1164267</v>
          </cell>
          <cell r="AF77">
            <v>0.25</v>
          </cell>
          <cell r="AG77">
            <v>205986</v>
          </cell>
          <cell r="AH77">
            <v>23883</v>
          </cell>
        </row>
        <row r="78">
          <cell r="C78">
            <v>33635</v>
          </cell>
          <cell r="D78">
            <v>749910</v>
          </cell>
          <cell r="E78">
            <v>0.15</v>
          </cell>
          <cell r="F78">
            <v>112487</v>
          </cell>
          <cell r="G78">
            <v>1462324</v>
          </cell>
          <cell r="H78">
            <v>0.25</v>
          </cell>
          <cell r="I78">
            <v>258719</v>
          </cell>
          <cell r="J78">
            <v>1462324</v>
          </cell>
          <cell r="K78">
            <v>0.25</v>
          </cell>
          <cell r="L78">
            <v>258719</v>
          </cell>
          <cell r="M78">
            <v>1462324</v>
          </cell>
          <cell r="N78">
            <v>0.25</v>
          </cell>
          <cell r="O78">
            <v>258719</v>
          </cell>
          <cell r="P78">
            <v>1462324</v>
          </cell>
          <cell r="Q78">
            <v>0.25</v>
          </cell>
          <cell r="R78">
            <v>258719</v>
          </cell>
          <cell r="S78">
            <v>1462324</v>
          </cell>
          <cell r="T78">
            <v>0.25</v>
          </cell>
          <cell r="U78">
            <v>258719</v>
          </cell>
          <cell r="V78">
            <v>1462324</v>
          </cell>
          <cell r="W78">
            <v>0.25</v>
          </cell>
          <cell r="X78">
            <v>258719</v>
          </cell>
          <cell r="Y78">
            <v>1462324</v>
          </cell>
          <cell r="Z78">
            <v>0.25</v>
          </cell>
          <cell r="AA78">
            <v>258719</v>
          </cell>
          <cell r="AB78">
            <v>1462324</v>
          </cell>
          <cell r="AC78">
            <v>0.25</v>
          </cell>
          <cell r="AD78">
            <v>258719</v>
          </cell>
          <cell r="AE78">
            <v>1462324</v>
          </cell>
          <cell r="AF78">
            <v>0.25</v>
          </cell>
          <cell r="AG78">
            <v>258719</v>
          </cell>
          <cell r="AH78">
            <v>29997</v>
          </cell>
        </row>
        <row r="79">
          <cell r="C79">
            <v>33664</v>
          </cell>
          <cell r="D79">
            <v>945640</v>
          </cell>
          <cell r="E79">
            <v>0.15</v>
          </cell>
          <cell r="F79">
            <v>141846</v>
          </cell>
          <cell r="G79">
            <v>1843998</v>
          </cell>
          <cell r="H79">
            <v>0.25</v>
          </cell>
          <cell r="I79">
            <v>326246</v>
          </cell>
          <cell r="J79">
            <v>1843998</v>
          </cell>
          <cell r="K79">
            <v>0.25</v>
          </cell>
          <cell r="L79">
            <v>326246</v>
          </cell>
          <cell r="M79">
            <v>1843998</v>
          </cell>
          <cell r="N79">
            <v>0.25</v>
          </cell>
          <cell r="O79">
            <v>326246</v>
          </cell>
          <cell r="P79">
            <v>1843998</v>
          </cell>
          <cell r="Q79">
            <v>0.25</v>
          </cell>
          <cell r="R79">
            <v>326246</v>
          </cell>
          <cell r="S79">
            <v>1843998</v>
          </cell>
          <cell r="T79">
            <v>0.25</v>
          </cell>
          <cell r="U79">
            <v>326246</v>
          </cell>
          <cell r="V79">
            <v>1843998</v>
          </cell>
          <cell r="W79">
            <v>0.25</v>
          </cell>
          <cell r="X79">
            <v>326246</v>
          </cell>
          <cell r="Y79">
            <v>1843998</v>
          </cell>
          <cell r="Z79">
            <v>0.25</v>
          </cell>
          <cell r="AA79">
            <v>326246</v>
          </cell>
          <cell r="AB79">
            <v>1843998</v>
          </cell>
          <cell r="AC79">
            <v>0.25</v>
          </cell>
          <cell r="AD79">
            <v>326246</v>
          </cell>
          <cell r="AE79">
            <v>1843998</v>
          </cell>
          <cell r="AF79">
            <v>0.25</v>
          </cell>
          <cell r="AG79">
            <v>326246</v>
          </cell>
          <cell r="AH79">
            <v>37826</v>
          </cell>
        </row>
        <row r="80">
          <cell r="C80">
            <v>33695</v>
          </cell>
          <cell r="D80">
            <v>1153960</v>
          </cell>
          <cell r="E80">
            <v>0.15</v>
          </cell>
          <cell r="F80">
            <v>173094</v>
          </cell>
          <cell r="G80">
            <v>2250222</v>
          </cell>
          <cell r="H80">
            <v>0.25</v>
          </cell>
          <cell r="I80">
            <v>398117</v>
          </cell>
          <cell r="J80">
            <v>2250222</v>
          </cell>
          <cell r="K80">
            <v>0.25</v>
          </cell>
          <cell r="L80">
            <v>398117</v>
          </cell>
          <cell r="M80">
            <v>2250222</v>
          </cell>
          <cell r="N80">
            <v>0.25</v>
          </cell>
          <cell r="O80">
            <v>398117</v>
          </cell>
          <cell r="P80">
            <v>2250222</v>
          </cell>
          <cell r="Q80">
            <v>0.25</v>
          </cell>
          <cell r="R80">
            <v>398117</v>
          </cell>
          <cell r="S80">
            <v>2250222</v>
          </cell>
          <cell r="T80">
            <v>0.25</v>
          </cell>
          <cell r="U80">
            <v>398117</v>
          </cell>
          <cell r="V80">
            <v>2250222</v>
          </cell>
          <cell r="W80">
            <v>0.25</v>
          </cell>
          <cell r="X80">
            <v>398117</v>
          </cell>
          <cell r="Y80">
            <v>2250222</v>
          </cell>
          <cell r="Z80">
            <v>0.25</v>
          </cell>
          <cell r="AA80">
            <v>398117</v>
          </cell>
          <cell r="AB80">
            <v>2250222</v>
          </cell>
          <cell r="AC80">
            <v>0.25</v>
          </cell>
          <cell r="AD80">
            <v>398117</v>
          </cell>
          <cell r="AE80">
            <v>2250222</v>
          </cell>
          <cell r="AF80">
            <v>0.25</v>
          </cell>
          <cell r="AG80">
            <v>398117</v>
          </cell>
          <cell r="AH80">
            <v>46159</v>
          </cell>
        </row>
        <row r="81">
          <cell r="C81">
            <v>33725</v>
          </cell>
          <cell r="D81">
            <v>1382790</v>
          </cell>
          <cell r="E81">
            <v>0.15</v>
          </cell>
          <cell r="F81">
            <v>207419</v>
          </cell>
          <cell r="G81">
            <v>2696441</v>
          </cell>
          <cell r="H81">
            <v>0.25</v>
          </cell>
          <cell r="I81">
            <v>477063</v>
          </cell>
          <cell r="J81">
            <v>2696441</v>
          </cell>
          <cell r="K81">
            <v>0.25</v>
          </cell>
          <cell r="L81">
            <v>477063</v>
          </cell>
          <cell r="M81">
            <v>2696441</v>
          </cell>
          <cell r="N81">
            <v>0.25</v>
          </cell>
          <cell r="O81">
            <v>477063</v>
          </cell>
          <cell r="P81">
            <v>2696441</v>
          </cell>
          <cell r="Q81">
            <v>0.25</v>
          </cell>
          <cell r="R81">
            <v>477063</v>
          </cell>
          <cell r="S81">
            <v>2696441</v>
          </cell>
          <cell r="T81">
            <v>0.25</v>
          </cell>
          <cell r="U81">
            <v>477063</v>
          </cell>
          <cell r="V81">
            <v>2696441</v>
          </cell>
          <cell r="W81">
            <v>0.25</v>
          </cell>
          <cell r="X81">
            <v>477063</v>
          </cell>
          <cell r="Y81">
            <v>2696441</v>
          </cell>
          <cell r="Z81">
            <v>0.25</v>
          </cell>
          <cell r="AA81">
            <v>477063</v>
          </cell>
          <cell r="AB81">
            <v>2696441</v>
          </cell>
          <cell r="AC81">
            <v>0.25</v>
          </cell>
          <cell r="AD81">
            <v>477063</v>
          </cell>
          <cell r="AE81">
            <v>2696441</v>
          </cell>
          <cell r="AF81">
            <v>0.25</v>
          </cell>
          <cell r="AG81">
            <v>477063</v>
          </cell>
          <cell r="AH81">
            <v>55312</v>
          </cell>
        </row>
        <row r="82">
          <cell r="C82">
            <v>33756</v>
          </cell>
          <cell r="D82">
            <v>1707050</v>
          </cell>
          <cell r="E82">
            <v>0.15</v>
          </cell>
          <cell r="F82">
            <v>256058</v>
          </cell>
          <cell r="G82">
            <v>3328748</v>
          </cell>
          <cell r="H82">
            <v>0.25</v>
          </cell>
          <cell r="I82">
            <v>588933</v>
          </cell>
          <cell r="J82">
            <v>3328748</v>
          </cell>
          <cell r="K82">
            <v>0.25</v>
          </cell>
          <cell r="L82">
            <v>588933</v>
          </cell>
          <cell r="M82">
            <v>3328748</v>
          </cell>
          <cell r="N82">
            <v>0.25</v>
          </cell>
          <cell r="O82">
            <v>588933</v>
          </cell>
          <cell r="P82">
            <v>3328748</v>
          </cell>
          <cell r="Q82">
            <v>0.25</v>
          </cell>
          <cell r="R82">
            <v>588933</v>
          </cell>
          <cell r="S82">
            <v>3328748</v>
          </cell>
          <cell r="T82">
            <v>0.25</v>
          </cell>
          <cell r="U82">
            <v>588933</v>
          </cell>
          <cell r="V82">
            <v>3328748</v>
          </cell>
          <cell r="W82">
            <v>0.25</v>
          </cell>
          <cell r="X82">
            <v>588933</v>
          </cell>
          <cell r="Y82">
            <v>3328748</v>
          </cell>
          <cell r="Z82">
            <v>0.25</v>
          </cell>
          <cell r="AA82">
            <v>588933</v>
          </cell>
          <cell r="AB82">
            <v>3328748</v>
          </cell>
          <cell r="AC82">
            <v>0.25</v>
          </cell>
          <cell r="AD82">
            <v>588933</v>
          </cell>
          <cell r="AE82">
            <v>3328748</v>
          </cell>
          <cell r="AF82">
            <v>0.25</v>
          </cell>
          <cell r="AG82">
            <v>588933</v>
          </cell>
          <cell r="AH82">
            <v>68282</v>
          </cell>
        </row>
        <row r="83">
          <cell r="C83">
            <v>33786</v>
          </cell>
          <cell r="D83">
            <v>2104280</v>
          </cell>
          <cell r="E83">
            <v>0.15</v>
          </cell>
          <cell r="F83">
            <v>315642</v>
          </cell>
          <cell r="G83">
            <v>4103346</v>
          </cell>
          <cell r="H83">
            <v>0.25</v>
          </cell>
          <cell r="I83">
            <v>725977</v>
          </cell>
          <cell r="J83">
            <v>4103346</v>
          </cell>
          <cell r="K83">
            <v>0.25</v>
          </cell>
          <cell r="L83">
            <v>725977</v>
          </cell>
          <cell r="M83">
            <v>4103346</v>
          </cell>
          <cell r="N83">
            <v>0.25</v>
          </cell>
          <cell r="O83">
            <v>725977</v>
          </cell>
          <cell r="P83">
            <v>4103346</v>
          </cell>
          <cell r="Q83">
            <v>0.25</v>
          </cell>
          <cell r="R83">
            <v>725977</v>
          </cell>
          <cell r="S83">
            <v>4103346</v>
          </cell>
          <cell r="T83">
            <v>0.25</v>
          </cell>
          <cell r="U83">
            <v>725977</v>
          </cell>
          <cell r="V83">
            <v>4103346</v>
          </cell>
          <cell r="W83">
            <v>0.25</v>
          </cell>
          <cell r="X83">
            <v>725977</v>
          </cell>
          <cell r="Y83">
            <v>4103346</v>
          </cell>
          <cell r="Z83">
            <v>0.25</v>
          </cell>
          <cell r="AA83">
            <v>725977</v>
          </cell>
          <cell r="AB83">
            <v>4103346</v>
          </cell>
          <cell r="AC83">
            <v>0.25</v>
          </cell>
          <cell r="AD83">
            <v>725977</v>
          </cell>
          <cell r="AE83">
            <v>4103346</v>
          </cell>
          <cell r="AF83">
            <v>0.25</v>
          </cell>
          <cell r="AG83">
            <v>725977</v>
          </cell>
          <cell r="AH83">
            <v>84171</v>
          </cell>
        </row>
        <row r="84">
          <cell r="C84">
            <v>33817</v>
          </cell>
          <cell r="D84">
            <v>2546390</v>
          </cell>
          <cell r="E84">
            <v>0.15</v>
          </cell>
          <cell r="F84">
            <v>381959</v>
          </cell>
          <cell r="G84">
            <v>4965461</v>
          </cell>
          <cell r="H84">
            <v>0.25</v>
          </cell>
          <cell r="I84">
            <v>878505</v>
          </cell>
          <cell r="J84">
            <v>4965461</v>
          </cell>
          <cell r="K84">
            <v>0.25</v>
          </cell>
          <cell r="L84">
            <v>878505</v>
          </cell>
          <cell r="M84">
            <v>4965461</v>
          </cell>
          <cell r="N84">
            <v>0.25</v>
          </cell>
          <cell r="O84">
            <v>878505</v>
          </cell>
          <cell r="P84">
            <v>4965461</v>
          </cell>
          <cell r="Q84">
            <v>0.25</v>
          </cell>
          <cell r="R84">
            <v>878505</v>
          </cell>
          <cell r="S84">
            <v>4965461</v>
          </cell>
          <cell r="T84">
            <v>0.25</v>
          </cell>
          <cell r="U84">
            <v>878505</v>
          </cell>
          <cell r="V84">
            <v>4965461</v>
          </cell>
          <cell r="W84">
            <v>0.25</v>
          </cell>
          <cell r="X84">
            <v>878505</v>
          </cell>
          <cell r="Y84">
            <v>4965461</v>
          </cell>
          <cell r="Z84">
            <v>0.25</v>
          </cell>
          <cell r="AA84">
            <v>878505</v>
          </cell>
          <cell r="AB84">
            <v>4965461</v>
          </cell>
          <cell r="AC84">
            <v>0.25</v>
          </cell>
          <cell r="AD84">
            <v>878505</v>
          </cell>
          <cell r="AE84">
            <v>4965461</v>
          </cell>
          <cell r="AF84">
            <v>0.25</v>
          </cell>
          <cell r="AG84">
            <v>878505</v>
          </cell>
          <cell r="AH84">
            <v>101856</v>
          </cell>
        </row>
        <row r="85">
          <cell r="C85">
            <v>33848</v>
          </cell>
          <cell r="D85">
            <v>3135620</v>
          </cell>
          <cell r="E85">
            <v>0.15</v>
          </cell>
          <cell r="F85">
            <v>470343</v>
          </cell>
          <cell r="G85">
            <v>6114459</v>
          </cell>
          <cell r="H85">
            <v>0.25</v>
          </cell>
          <cell r="I85">
            <v>1081789</v>
          </cell>
          <cell r="J85">
            <v>6114459</v>
          </cell>
          <cell r="K85">
            <v>0.25</v>
          </cell>
          <cell r="L85">
            <v>1081789</v>
          </cell>
          <cell r="M85">
            <v>6114459</v>
          </cell>
          <cell r="N85">
            <v>0.25</v>
          </cell>
          <cell r="O85">
            <v>1081789</v>
          </cell>
          <cell r="P85">
            <v>6114459</v>
          </cell>
          <cell r="Q85">
            <v>0.25</v>
          </cell>
          <cell r="R85">
            <v>1081789</v>
          </cell>
          <cell r="S85">
            <v>6114459</v>
          </cell>
          <cell r="T85">
            <v>0.25</v>
          </cell>
          <cell r="U85">
            <v>1081789</v>
          </cell>
          <cell r="V85">
            <v>6114459</v>
          </cell>
          <cell r="W85">
            <v>0.25</v>
          </cell>
          <cell r="X85">
            <v>1081789</v>
          </cell>
          <cell r="Y85">
            <v>6114459</v>
          </cell>
          <cell r="Z85">
            <v>0.25</v>
          </cell>
          <cell r="AA85">
            <v>1081789</v>
          </cell>
          <cell r="AB85">
            <v>6114459</v>
          </cell>
          <cell r="AC85">
            <v>0.25</v>
          </cell>
          <cell r="AD85">
            <v>1081789</v>
          </cell>
          <cell r="AE85">
            <v>6114459</v>
          </cell>
          <cell r="AF85">
            <v>0.25</v>
          </cell>
          <cell r="AG85">
            <v>1081789</v>
          </cell>
          <cell r="AH85">
            <v>125425</v>
          </cell>
        </row>
        <row r="86">
          <cell r="C86">
            <v>33878</v>
          </cell>
          <cell r="D86">
            <v>3867160</v>
          </cell>
          <cell r="E86">
            <v>0.15</v>
          </cell>
          <cell r="F86">
            <v>580074</v>
          </cell>
          <cell r="G86">
            <v>7540962</v>
          </cell>
          <cell r="H86">
            <v>0.25</v>
          </cell>
          <cell r="I86">
            <v>1334170</v>
          </cell>
          <cell r="J86">
            <v>7540962</v>
          </cell>
          <cell r="K86">
            <v>0.25</v>
          </cell>
          <cell r="L86">
            <v>1334170</v>
          </cell>
          <cell r="M86">
            <v>7540962</v>
          </cell>
          <cell r="N86">
            <v>0.25</v>
          </cell>
          <cell r="O86">
            <v>1334170</v>
          </cell>
          <cell r="P86">
            <v>7540962</v>
          </cell>
          <cell r="Q86">
            <v>0.25</v>
          </cell>
          <cell r="R86">
            <v>1334170</v>
          </cell>
          <cell r="S86">
            <v>7540962</v>
          </cell>
          <cell r="T86">
            <v>0.25</v>
          </cell>
          <cell r="U86">
            <v>1334170</v>
          </cell>
          <cell r="V86">
            <v>7540962</v>
          </cell>
          <cell r="W86">
            <v>0.25</v>
          </cell>
          <cell r="X86">
            <v>1334170</v>
          </cell>
          <cell r="Y86">
            <v>7540962</v>
          </cell>
          <cell r="Z86">
            <v>0.25</v>
          </cell>
          <cell r="AA86">
            <v>1334170</v>
          </cell>
          <cell r="AB86">
            <v>7540962</v>
          </cell>
          <cell r="AC86">
            <v>0.25</v>
          </cell>
          <cell r="AD86">
            <v>1334170</v>
          </cell>
          <cell r="AE86">
            <v>7540962</v>
          </cell>
          <cell r="AF86">
            <v>0.25</v>
          </cell>
          <cell r="AG86">
            <v>1334170</v>
          </cell>
          <cell r="AH86">
            <v>154686</v>
          </cell>
        </row>
        <row r="87">
          <cell r="C87">
            <v>33909</v>
          </cell>
          <cell r="D87">
            <v>4852510</v>
          </cell>
          <cell r="E87">
            <v>0.15</v>
          </cell>
          <cell r="F87">
            <v>727877</v>
          </cell>
          <cell r="G87">
            <v>9462395</v>
          </cell>
          <cell r="H87">
            <v>0.25</v>
          </cell>
          <cell r="I87">
            <v>1674117</v>
          </cell>
          <cell r="J87">
            <v>9462395</v>
          </cell>
          <cell r="K87">
            <v>0.25</v>
          </cell>
          <cell r="L87">
            <v>1674117</v>
          </cell>
          <cell r="M87">
            <v>9462395</v>
          </cell>
          <cell r="N87">
            <v>0.25</v>
          </cell>
          <cell r="O87">
            <v>1674117</v>
          </cell>
          <cell r="P87">
            <v>9462395</v>
          </cell>
          <cell r="Q87">
            <v>0.25</v>
          </cell>
          <cell r="R87">
            <v>1674117</v>
          </cell>
          <cell r="S87">
            <v>9462395</v>
          </cell>
          <cell r="T87">
            <v>0.25</v>
          </cell>
          <cell r="U87">
            <v>1674117</v>
          </cell>
          <cell r="V87">
            <v>9462395</v>
          </cell>
          <cell r="W87">
            <v>0.25</v>
          </cell>
          <cell r="X87">
            <v>1674117</v>
          </cell>
          <cell r="Y87">
            <v>9462395</v>
          </cell>
          <cell r="Z87">
            <v>0.25</v>
          </cell>
          <cell r="AA87">
            <v>1674117</v>
          </cell>
          <cell r="AB87">
            <v>9462395</v>
          </cell>
          <cell r="AC87">
            <v>0.25</v>
          </cell>
          <cell r="AD87">
            <v>1674117</v>
          </cell>
          <cell r="AE87">
            <v>9462395</v>
          </cell>
          <cell r="AF87">
            <v>0.25</v>
          </cell>
          <cell r="AG87">
            <v>1674117</v>
          </cell>
          <cell r="AH87">
            <v>194100</v>
          </cell>
        </row>
        <row r="88">
          <cell r="C88">
            <v>33939</v>
          </cell>
          <cell r="D88">
            <v>6002550</v>
          </cell>
          <cell r="E88">
            <v>0.15</v>
          </cell>
          <cell r="F88">
            <v>900383</v>
          </cell>
          <cell r="G88">
            <v>11704973</v>
          </cell>
          <cell r="H88">
            <v>0.25</v>
          </cell>
          <cell r="I88">
            <v>2070880</v>
          </cell>
          <cell r="J88">
            <v>11704973</v>
          </cell>
          <cell r="K88">
            <v>0.25</v>
          </cell>
          <cell r="L88">
            <v>2070880</v>
          </cell>
          <cell r="M88">
            <v>11704973</v>
          </cell>
          <cell r="N88">
            <v>0.25</v>
          </cell>
          <cell r="O88">
            <v>2070880</v>
          </cell>
          <cell r="P88">
            <v>11704973</v>
          </cell>
          <cell r="Q88">
            <v>0.25</v>
          </cell>
          <cell r="R88">
            <v>2070880</v>
          </cell>
          <cell r="S88">
            <v>11704973</v>
          </cell>
          <cell r="T88">
            <v>0.25</v>
          </cell>
          <cell r="U88">
            <v>2070880</v>
          </cell>
          <cell r="V88">
            <v>11704973</v>
          </cell>
          <cell r="W88">
            <v>0.25</v>
          </cell>
          <cell r="X88">
            <v>2070880</v>
          </cell>
          <cell r="Y88">
            <v>11704973</v>
          </cell>
          <cell r="Z88">
            <v>0.25</v>
          </cell>
          <cell r="AA88">
            <v>2070880</v>
          </cell>
          <cell r="AB88">
            <v>11704973</v>
          </cell>
          <cell r="AC88">
            <v>0.25</v>
          </cell>
          <cell r="AD88">
            <v>2070880</v>
          </cell>
          <cell r="AE88">
            <v>11704973</v>
          </cell>
          <cell r="AF88">
            <v>0.25</v>
          </cell>
          <cell r="AG88">
            <v>2070880</v>
          </cell>
          <cell r="AH88">
            <v>240102</v>
          </cell>
        </row>
        <row r="89">
          <cell r="C89">
            <v>33970</v>
          </cell>
          <cell r="D89">
            <v>7412550</v>
          </cell>
          <cell r="E89">
            <v>0.15</v>
          </cell>
          <cell r="F89">
            <v>1111883</v>
          </cell>
          <cell r="G89">
            <v>14454473</v>
          </cell>
          <cell r="H89">
            <v>0.25</v>
          </cell>
          <cell r="I89">
            <v>2557330</v>
          </cell>
          <cell r="J89">
            <v>14454473</v>
          </cell>
          <cell r="K89">
            <v>0.25</v>
          </cell>
          <cell r="L89">
            <v>2557330</v>
          </cell>
          <cell r="M89">
            <v>14454473</v>
          </cell>
          <cell r="N89">
            <v>0.25</v>
          </cell>
          <cell r="O89">
            <v>2557330</v>
          </cell>
          <cell r="P89">
            <v>14454473</v>
          </cell>
          <cell r="Q89">
            <v>0.25</v>
          </cell>
          <cell r="R89">
            <v>2557330</v>
          </cell>
          <cell r="S89">
            <v>14454473</v>
          </cell>
          <cell r="T89">
            <v>0.25</v>
          </cell>
          <cell r="U89">
            <v>2557330</v>
          </cell>
          <cell r="V89">
            <v>14454473</v>
          </cell>
          <cell r="W89">
            <v>0.25</v>
          </cell>
          <cell r="X89">
            <v>2557330</v>
          </cell>
          <cell r="Y89">
            <v>14454473</v>
          </cell>
          <cell r="Z89">
            <v>0.25</v>
          </cell>
          <cell r="AA89">
            <v>2557330</v>
          </cell>
          <cell r="AB89">
            <v>14454473</v>
          </cell>
          <cell r="AC89">
            <v>0.25</v>
          </cell>
          <cell r="AD89">
            <v>2557330</v>
          </cell>
          <cell r="AE89">
            <v>14454473</v>
          </cell>
          <cell r="AF89">
            <v>0.25</v>
          </cell>
          <cell r="AG89">
            <v>2557330</v>
          </cell>
          <cell r="AH89">
            <v>296502</v>
          </cell>
        </row>
        <row r="90">
          <cell r="C90">
            <v>34001</v>
          </cell>
          <cell r="D90">
            <v>9597030</v>
          </cell>
          <cell r="E90">
            <v>0.15</v>
          </cell>
          <cell r="F90">
            <v>1439555</v>
          </cell>
          <cell r="G90">
            <v>18714209</v>
          </cell>
          <cell r="H90">
            <v>0.25</v>
          </cell>
          <cell r="I90">
            <v>3310976</v>
          </cell>
          <cell r="J90">
            <v>18714209</v>
          </cell>
          <cell r="K90">
            <v>0.25</v>
          </cell>
          <cell r="L90">
            <v>3310976</v>
          </cell>
          <cell r="M90">
            <v>18714209</v>
          </cell>
          <cell r="N90">
            <v>0.25</v>
          </cell>
          <cell r="O90">
            <v>3310976</v>
          </cell>
          <cell r="P90">
            <v>18714209</v>
          </cell>
          <cell r="Q90">
            <v>0.25</v>
          </cell>
          <cell r="R90">
            <v>3310976</v>
          </cell>
          <cell r="S90">
            <v>18714209</v>
          </cell>
          <cell r="T90">
            <v>0.25</v>
          </cell>
          <cell r="U90">
            <v>3310976</v>
          </cell>
          <cell r="V90">
            <v>18714209</v>
          </cell>
          <cell r="W90">
            <v>0.25</v>
          </cell>
          <cell r="X90">
            <v>3310976</v>
          </cell>
          <cell r="Y90">
            <v>18714209</v>
          </cell>
          <cell r="Z90">
            <v>0.25</v>
          </cell>
          <cell r="AA90">
            <v>3310976</v>
          </cell>
          <cell r="AB90">
            <v>18714209</v>
          </cell>
          <cell r="AC90">
            <v>0.25</v>
          </cell>
          <cell r="AD90">
            <v>3310976</v>
          </cell>
          <cell r="AE90">
            <v>18714209</v>
          </cell>
          <cell r="AF90">
            <v>0.25</v>
          </cell>
          <cell r="AG90">
            <v>3310976</v>
          </cell>
          <cell r="AH90">
            <v>383881</v>
          </cell>
        </row>
        <row r="91">
          <cell r="C91">
            <v>34029</v>
          </cell>
          <cell r="D91">
            <v>12161360</v>
          </cell>
          <cell r="E91">
            <v>0.15</v>
          </cell>
          <cell r="F91">
            <v>1824204</v>
          </cell>
          <cell r="G91">
            <v>23714652</v>
          </cell>
          <cell r="H91">
            <v>0.25</v>
          </cell>
          <cell r="I91">
            <v>4195669</v>
          </cell>
          <cell r="J91">
            <v>23714652</v>
          </cell>
          <cell r="K91">
            <v>0.25</v>
          </cell>
          <cell r="L91">
            <v>4195669</v>
          </cell>
          <cell r="M91">
            <v>23714652</v>
          </cell>
          <cell r="N91">
            <v>0.25</v>
          </cell>
          <cell r="O91">
            <v>4195669</v>
          </cell>
          <cell r="P91">
            <v>23714652</v>
          </cell>
          <cell r="Q91">
            <v>0.25</v>
          </cell>
          <cell r="R91">
            <v>4195669</v>
          </cell>
          <cell r="S91">
            <v>23714652</v>
          </cell>
          <cell r="T91">
            <v>0.25</v>
          </cell>
          <cell r="U91">
            <v>4195669</v>
          </cell>
          <cell r="V91">
            <v>23714652</v>
          </cell>
          <cell r="W91">
            <v>0.25</v>
          </cell>
          <cell r="X91">
            <v>4195669</v>
          </cell>
          <cell r="Y91">
            <v>23714652</v>
          </cell>
          <cell r="Z91">
            <v>0.25</v>
          </cell>
          <cell r="AA91">
            <v>4195669</v>
          </cell>
          <cell r="AB91">
            <v>23714652</v>
          </cell>
          <cell r="AC91">
            <v>0.25</v>
          </cell>
          <cell r="AD91">
            <v>4195669</v>
          </cell>
          <cell r="AE91">
            <v>23714652</v>
          </cell>
          <cell r="AF91">
            <v>0.25</v>
          </cell>
          <cell r="AG91">
            <v>4195669</v>
          </cell>
          <cell r="AH91">
            <v>486454</v>
          </cell>
        </row>
        <row r="92">
          <cell r="C92">
            <v>34060</v>
          </cell>
          <cell r="D92">
            <v>15318450</v>
          </cell>
          <cell r="E92">
            <v>0.15</v>
          </cell>
          <cell r="F92">
            <v>2297768</v>
          </cell>
          <cell r="G92">
            <v>29870978</v>
          </cell>
          <cell r="H92">
            <v>0.25</v>
          </cell>
          <cell r="I92">
            <v>5284865</v>
          </cell>
          <cell r="J92">
            <v>29870978</v>
          </cell>
          <cell r="K92">
            <v>0.25</v>
          </cell>
          <cell r="L92">
            <v>5284865</v>
          </cell>
          <cell r="M92">
            <v>29870978</v>
          </cell>
          <cell r="N92">
            <v>0.25</v>
          </cell>
          <cell r="O92">
            <v>5284865</v>
          </cell>
          <cell r="P92">
            <v>29870978</v>
          </cell>
          <cell r="Q92">
            <v>0.25</v>
          </cell>
          <cell r="R92">
            <v>5284865</v>
          </cell>
          <cell r="S92">
            <v>29870978</v>
          </cell>
          <cell r="T92">
            <v>0.25</v>
          </cell>
          <cell r="U92">
            <v>5284865</v>
          </cell>
          <cell r="V92">
            <v>29870978</v>
          </cell>
          <cell r="W92">
            <v>0.25</v>
          </cell>
          <cell r="X92">
            <v>5284865</v>
          </cell>
          <cell r="Y92">
            <v>29870978</v>
          </cell>
          <cell r="Z92">
            <v>0.25</v>
          </cell>
          <cell r="AA92">
            <v>5284865</v>
          </cell>
          <cell r="AB92">
            <v>29870978</v>
          </cell>
          <cell r="AC92">
            <v>0.25</v>
          </cell>
          <cell r="AD92">
            <v>5284865</v>
          </cell>
          <cell r="AE92">
            <v>29870978</v>
          </cell>
          <cell r="AF92">
            <v>0.25</v>
          </cell>
          <cell r="AG92">
            <v>5284865</v>
          </cell>
          <cell r="AH92">
            <v>612738</v>
          </cell>
        </row>
        <row r="93">
          <cell r="C93">
            <v>34090</v>
          </cell>
          <cell r="D93">
            <v>19506520</v>
          </cell>
          <cell r="E93">
            <v>0.15</v>
          </cell>
          <cell r="F93">
            <v>2925978</v>
          </cell>
          <cell r="G93">
            <v>38037714</v>
          </cell>
          <cell r="H93">
            <v>0.25</v>
          </cell>
          <cell r="I93">
            <v>6729749</v>
          </cell>
          <cell r="J93">
            <v>38037714</v>
          </cell>
          <cell r="K93">
            <v>0.25</v>
          </cell>
          <cell r="L93">
            <v>6729749</v>
          </cell>
          <cell r="M93">
            <v>38037714</v>
          </cell>
          <cell r="N93">
            <v>0.25</v>
          </cell>
          <cell r="O93">
            <v>6729749</v>
          </cell>
          <cell r="P93">
            <v>38037714</v>
          </cell>
          <cell r="Q93">
            <v>0.25</v>
          </cell>
          <cell r="R93">
            <v>6729749</v>
          </cell>
          <cell r="S93">
            <v>38037714</v>
          </cell>
          <cell r="T93">
            <v>0.25</v>
          </cell>
          <cell r="U93">
            <v>6729749</v>
          </cell>
          <cell r="V93">
            <v>38037714</v>
          </cell>
          <cell r="W93">
            <v>0.25</v>
          </cell>
          <cell r="X93">
            <v>6729749</v>
          </cell>
          <cell r="Y93">
            <v>38037714</v>
          </cell>
          <cell r="Z93">
            <v>0.25</v>
          </cell>
          <cell r="AA93">
            <v>6729749</v>
          </cell>
          <cell r="AB93">
            <v>38037714</v>
          </cell>
          <cell r="AC93">
            <v>0.25</v>
          </cell>
          <cell r="AD93">
            <v>6729749</v>
          </cell>
          <cell r="AE93">
            <v>38037714</v>
          </cell>
          <cell r="AF93">
            <v>0.25</v>
          </cell>
          <cell r="AG93">
            <v>6729749</v>
          </cell>
          <cell r="AH93">
            <v>780260</v>
          </cell>
        </row>
        <row r="94">
          <cell r="C94">
            <v>34121</v>
          </cell>
          <cell r="D94">
            <v>25126350</v>
          </cell>
          <cell r="E94">
            <v>0.15</v>
          </cell>
          <cell r="F94">
            <v>3768953</v>
          </cell>
          <cell r="G94">
            <v>48996382</v>
          </cell>
          <cell r="H94">
            <v>0.25</v>
          </cell>
          <cell r="I94">
            <v>8668591</v>
          </cell>
          <cell r="J94">
            <v>48996382</v>
          </cell>
          <cell r="K94">
            <v>0.25</v>
          </cell>
          <cell r="L94">
            <v>8668591</v>
          </cell>
          <cell r="M94">
            <v>48996382</v>
          </cell>
          <cell r="N94">
            <v>0.25</v>
          </cell>
          <cell r="O94">
            <v>8668591</v>
          </cell>
          <cell r="P94">
            <v>48996382</v>
          </cell>
          <cell r="Q94">
            <v>0.25</v>
          </cell>
          <cell r="R94">
            <v>8668591</v>
          </cell>
          <cell r="S94">
            <v>48996382</v>
          </cell>
          <cell r="T94">
            <v>0.25</v>
          </cell>
          <cell r="U94">
            <v>8668591</v>
          </cell>
          <cell r="V94">
            <v>48996382</v>
          </cell>
          <cell r="W94">
            <v>0.25</v>
          </cell>
          <cell r="X94">
            <v>8668591</v>
          </cell>
          <cell r="Y94">
            <v>48996382</v>
          </cell>
          <cell r="Z94">
            <v>0.25</v>
          </cell>
          <cell r="AA94">
            <v>8668591</v>
          </cell>
          <cell r="AB94">
            <v>48996382</v>
          </cell>
          <cell r="AC94">
            <v>0.25</v>
          </cell>
          <cell r="AD94">
            <v>8668591</v>
          </cell>
          <cell r="AE94">
            <v>48996382</v>
          </cell>
          <cell r="AF94">
            <v>0.25</v>
          </cell>
          <cell r="AG94">
            <v>8668591</v>
          </cell>
          <cell r="AH94">
            <v>1005054</v>
          </cell>
        </row>
        <row r="95">
          <cell r="C95">
            <v>34151</v>
          </cell>
          <cell r="D95">
            <v>32749680</v>
          </cell>
          <cell r="E95">
            <v>0.15</v>
          </cell>
          <cell r="F95">
            <v>4912452</v>
          </cell>
          <cell r="G95">
            <v>63861876</v>
          </cell>
          <cell r="H95">
            <v>0.25</v>
          </cell>
          <cell r="I95">
            <v>11298640</v>
          </cell>
          <cell r="J95">
            <v>63861876</v>
          </cell>
          <cell r="K95">
            <v>0.25</v>
          </cell>
          <cell r="L95">
            <v>11298640</v>
          </cell>
          <cell r="M95">
            <v>63861876</v>
          </cell>
          <cell r="N95">
            <v>0.25</v>
          </cell>
          <cell r="O95">
            <v>11298640</v>
          </cell>
          <cell r="P95">
            <v>63861876</v>
          </cell>
          <cell r="Q95">
            <v>0.25</v>
          </cell>
          <cell r="R95">
            <v>11298640</v>
          </cell>
          <cell r="S95">
            <v>63861876</v>
          </cell>
          <cell r="T95">
            <v>0.25</v>
          </cell>
          <cell r="U95">
            <v>11298640</v>
          </cell>
          <cell r="V95">
            <v>63861876</v>
          </cell>
          <cell r="W95">
            <v>0.25</v>
          </cell>
          <cell r="X95">
            <v>11298640</v>
          </cell>
          <cell r="Y95">
            <v>63861876</v>
          </cell>
          <cell r="Z95">
            <v>0.25</v>
          </cell>
          <cell r="AA95">
            <v>11298640</v>
          </cell>
          <cell r="AB95">
            <v>63861876</v>
          </cell>
          <cell r="AC95">
            <v>0.25</v>
          </cell>
          <cell r="AD95">
            <v>11298640</v>
          </cell>
          <cell r="AE95">
            <v>63861876</v>
          </cell>
          <cell r="AF95">
            <v>0.25</v>
          </cell>
          <cell r="AG95">
            <v>11298640</v>
          </cell>
          <cell r="AH95">
            <v>1309987</v>
          </cell>
        </row>
        <row r="96">
          <cell r="C96">
            <v>34182</v>
          </cell>
          <cell r="D96">
            <v>42790</v>
          </cell>
          <cell r="E96">
            <v>0.15</v>
          </cell>
          <cell r="F96">
            <v>6418.5</v>
          </cell>
          <cell r="G96">
            <v>83440.5</v>
          </cell>
          <cell r="H96">
            <v>0.25</v>
          </cell>
          <cell r="I96">
            <v>14762.55</v>
          </cell>
          <cell r="J96">
            <v>83440.5</v>
          </cell>
          <cell r="K96">
            <v>0.25</v>
          </cell>
          <cell r="L96">
            <v>14762.55</v>
          </cell>
          <cell r="M96">
            <v>83440.5</v>
          </cell>
          <cell r="N96">
            <v>0.25</v>
          </cell>
          <cell r="O96">
            <v>14762.55</v>
          </cell>
          <cell r="P96">
            <v>83440.5</v>
          </cell>
          <cell r="Q96">
            <v>0.25</v>
          </cell>
          <cell r="R96">
            <v>14762.55</v>
          </cell>
          <cell r="S96">
            <v>83440.5</v>
          </cell>
          <cell r="T96">
            <v>0.25</v>
          </cell>
          <cell r="U96">
            <v>14762.55</v>
          </cell>
          <cell r="V96">
            <v>83440.5</v>
          </cell>
          <cell r="W96">
            <v>0.25</v>
          </cell>
          <cell r="X96">
            <v>14762.55</v>
          </cell>
          <cell r="Y96">
            <v>83440.5</v>
          </cell>
          <cell r="Z96">
            <v>0.25</v>
          </cell>
          <cell r="AA96">
            <v>14762.55</v>
          </cell>
          <cell r="AB96">
            <v>83440.5</v>
          </cell>
          <cell r="AC96">
            <v>0.25</v>
          </cell>
          <cell r="AD96">
            <v>14762.55</v>
          </cell>
          <cell r="AE96">
            <v>83440.5</v>
          </cell>
          <cell r="AF96">
            <v>0.25</v>
          </cell>
          <cell r="AG96">
            <v>14762.55</v>
          </cell>
          <cell r="AH96">
            <v>1711.6</v>
          </cell>
        </row>
        <row r="97">
          <cell r="C97">
            <v>34213</v>
          </cell>
          <cell r="D97">
            <v>56480</v>
          </cell>
          <cell r="E97">
            <v>0.15</v>
          </cell>
          <cell r="F97">
            <v>8472</v>
          </cell>
          <cell r="G97">
            <v>110136</v>
          </cell>
          <cell r="H97">
            <v>0.25</v>
          </cell>
          <cell r="I97">
            <v>19485.599999999999</v>
          </cell>
          <cell r="J97">
            <v>110136</v>
          </cell>
          <cell r="K97">
            <v>0.25</v>
          </cell>
          <cell r="L97">
            <v>19485.599999999999</v>
          </cell>
          <cell r="M97">
            <v>110136</v>
          </cell>
          <cell r="N97">
            <v>0.25</v>
          </cell>
          <cell r="O97">
            <v>19485.599999999999</v>
          </cell>
          <cell r="P97">
            <v>110136</v>
          </cell>
          <cell r="Q97">
            <v>0.25</v>
          </cell>
          <cell r="R97">
            <v>19485.599999999999</v>
          </cell>
          <cell r="S97">
            <v>110136</v>
          </cell>
          <cell r="T97">
            <v>0.25</v>
          </cell>
          <cell r="U97">
            <v>19485.599999999999</v>
          </cell>
          <cell r="V97">
            <v>110136</v>
          </cell>
          <cell r="W97">
            <v>0.25</v>
          </cell>
          <cell r="X97">
            <v>19485.599999999999</v>
          </cell>
          <cell r="Y97">
            <v>110136</v>
          </cell>
          <cell r="Z97">
            <v>0.25</v>
          </cell>
          <cell r="AA97">
            <v>19485.599999999999</v>
          </cell>
          <cell r="AB97">
            <v>110136</v>
          </cell>
          <cell r="AC97">
            <v>0.25</v>
          </cell>
          <cell r="AD97">
            <v>19485.599999999999</v>
          </cell>
          <cell r="AE97">
            <v>110136</v>
          </cell>
          <cell r="AF97">
            <v>0.25</v>
          </cell>
          <cell r="AG97">
            <v>19485.599999999999</v>
          </cell>
          <cell r="AH97">
            <v>2259.1999999999998</v>
          </cell>
        </row>
        <row r="98">
          <cell r="C98">
            <v>34243</v>
          </cell>
          <cell r="D98">
            <v>75900</v>
          </cell>
          <cell r="E98">
            <v>0.15</v>
          </cell>
          <cell r="F98">
            <v>11385</v>
          </cell>
          <cell r="G98">
            <v>148005</v>
          </cell>
          <cell r="H98">
            <v>0.25</v>
          </cell>
          <cell r="I98">
            <v>26185.5</v>
          </cell>
          <cell r="J98">
            <v>148005</v>
          </cell>
          <cell r="K98">
            <v>0.25</v>
          </cell>
          <cell r="L98">
            <v>26185.5</v>
          </cell>
          <cell r="M98">
            <v>148005</v>
          </cell>
          <cell r="N98">
            <v>0.25</v>
          </cell>
          <cell r="O98">
            <v>26185.5</v>
          </cell>
          <cell r="P98">
            <v>148005</v>
          </cell>
          <cell r="Q98">
            <v>0.25</v>
          </cell>
          <cell r="R98">
            <v>26185.5</v>
          </cell>
          <cell r="S98">
            <v>148005</v>
          </cell>
          <cell r="T98">
            <v>0.25</v>
          </cell>
          <cell r="U98">
            <v>26185.5</v>
          </cell>
          <cell r="V98">
            <v>148005</v>
          </cell>
          <cell r="W98">
            <v>0.25</v>
          </cell>
          <cell r="X98">
            <v>26185.5</v>
          </cell>
          <cell r="Y98">
            <v>148005</v>
          </cell>
          <cell r="Z98">
            <v>0.25</v>
          </cell>
          <cell r="AA98">
            <v>26185.5</v>
          </cell>
          <cell r="AB98">
            <v>148005</v>
          </cell>
          <cell r="AC98">
            <v>0.25</v>
          </cell>
          <cell r="AD98">
            <v>26185.5</v>
          </cell>
          <cell r="AE98">
            <v>148005</v>
          </cell>
          <cell r="AF98">
            <v>0.25</v>
          </cell>
          <cell r="AG98">
            <v>26185.5</v>
          </cell>
          <cell r="AH98">
            <v>3036</v>
          </cell>
        </row>
        <row r="99">
          <cell r="C99">
            <v>34274</v>
          </cell>
          <cell r="D99">
            <v>102590</v>
          </cell>
          <cell r="E99">
            <v>0.15</v>
          </cell>
          <cell r="F99">
            <v>15388.5</v>
          </cell>
          <cell r="G99">
            <v>200050.5</v>
          </cell>
          <cell r="H99">
            <v>0.25</v>
          </cell>
          <cell r="I99">
            <v>35393.550000000003</v>
          </cell>
          <cell r="J99">
            <v>200050.5</v>
          </cell>
          <cell r="K99">
            <v>0.25</v>
          </cell>
          <cell r="L99">
            <v>35393.550000000003</v>
          </cell>
          <cell r="M99">
            <v>200050.5</v>
          </cell>
          <cell r="N99">
            <v>0.25</v>
          </cell>
          <cell r="O99">
            <v>35393.550000000003</v>
          </cell>
          <cell r="P99">
            <v>200050.5</v>
          </cell>
          <cell r="Q99">
            <v>0.25</v>
          </cell>
          <cell r="R99">
            <v>35393.550000000003</v>
          </cell>
          <cell r="S99">
            <v>200050.5</v>
          </cell>
          <cell r="T99">
            <v>0.25</v>
          </cell>
          <cell r="U99">
            <v>35393.550000000003</v>
          </cell>
          <cell r="V99">
            <v>200050.5</v>
          </cell>
          <cell r="W99">
            <v>0.25</v>
          </cell>
          <cell r="X99">
            <v>35393.550000000003</v>
          </cell>
          <cell r="Y99">
            <v>200050.5</v>
          </cell>
          <cell r="Z99">
            <v>0.25</v>
          </cell>
          <cell r="AA99">
            <v>35393.550000000003</v>
          </cell>
          <cell r="AB99">
            <v>200050.5</v>
          </cell>
          <cell r="AC99">
            <v>0.25</v>
          </cell>
          <cell r="AD99">
            <v>35393.550000000003</v>
          </cell>
          <cell r="AE99">
            <v>200050.5</v>
          </cell>
          <cell r="AF99">
            <v>0.25</v>
          </cell>
          <cell r="AG99">
            <v>35393.550000000003</v>
          </cell>
          <cell r="AH99">
            <v>4103.6000000000004</v>
          </cell>
        </row>
        <row r="100">
          <cell r="C100">
            <v>34304</v>
          </cell>
          <cell r="D100">
            <v>137370</v>
          </cell>
          <cell r="E100">
            <v>0.15</v>
          </cell>
          <cell r="F100">
            <v>20605.5</v>
          </cell>
          <cell r="G100">
            <v>267871.5</v>
          </cell>
          <cell r="H100">
            <v>0.25</v>
          </cell>
          <cell r="I100">
            <v>47392.65</v>
          </cell>
          <cell r="J100">
            <v>267871.5</v>
          </cell>
          <cell r="K100">
            <v>0.25</v>
          </cell>
          <cell r="L100">
            <v>47392.65</v>
          </cell>
          <cell r="M100">
            <v>267871.5</v>
          </cell>
          <cell r="N100">
            <v>0.25</v>
          </cell>
          <cell r="O100">
            <v>47392.65</v>
          </cell>
          <cell r="P100">
            <v>267871.5</v>
          </cell>
          <cell r="Q100">
            <v>0.25</v>
          </cell>
          <cell r="R100">
            <v>47392.65</v>
          </cell>
          <cell r="S100">
            <v>267871.5</v>
          </cell>
          <cell r="T100">
            <v>0.25</v>
          </cell>
          <cell r="U100">
            <v>47392.65</v>
          </cell>
          <cell r="V100">
            <v>267871.5</v>
          </cell>
          <cell r="W100">
            <v>0.25</v>
          </cell>
          <cell r="X100">
            <v>47392.65</v>
          </cell>
          <cell r="Y100">
            <v>267871.5</v>
          </cell>
          <cell r="Z100">
            <v>0.25</v>
          </cell>
          <cell r="AA100">
            <v>47392.65</v>
          </cell>
          <cell r="AB100">
            <v>267871.5</v>
          </cell>
          <cell r="AC100">
            <v>0.25</v>
          </cell>
          <cell r="AD100">
            <v>47392.65</v>
          </cell>
          <cell r="AE100">
            <v>267871.5</v>
          </cell>
          <cell r="AF100">
            <v>0.25</v>
          </cell>
          <cell r="AG100">
            <v>47392.65</v>
          </cell>
          <cell r="AH100">
            <v>5494.8</v>
          </cell>
        </row>
        <row r="101">
          <cell r="C101">
            <v>34335</v>
          </cell>
          <cell r="D101">
            <v>187770</v>
          </cell>
          <cell r="E101">
            <v>0.15</v>
          </cell>
          <cell r="F101">
            <v>28165.5</v>
          </cell>
          <cell r="G101">
            <v>366151.5</v>
          </cell>
          <cell r="H101">
            <v>0.26600000000000001</v>
          </cell>
          <cell r="I101">
            <v>70674.75</v>
          </cell>
          <cell r="J101">
            <v>3379860</v>
          </cell>
          <cell r="K101">
            <v>0.35</v>
          </cell>
          <cell r="L101">
            <v>354556.7</v>
          </cell>
          <cell r="M101">
            <v>3379860</v>
          </cell>
          <cell r="N101">
            <v>0.35</v>
          </cell>
          <cell r="O101">
            <v>354556.7</v>
          </cell>
          <cell r="P101">
            <v>3379860</v>
          </cell>
          <cell r="Q101">
            <v>0.35</v>
          </cell>
          <cell r="R101">
            <v>354556.7</v>
          </cell>
          <cell r="S101">
            <v>3379860</v>
          </cell>
          <cell r="T101">
            <v>0.35</v>
          </cell>
          <cell r="U101">
            <v>354556.7</v>
          </cell>
          <cell r="V101">
            <v>3379860</v>
          </cell>
          <cell r="W101">
            <v>0.35</v>
          </cell>
          <cell r="X101">
            <v>354556.7</v>
          </cell>
          <cell r="Y101">
            <v>3379860</v>
          </cell>
          <cell r="Z101">
            <v>0.35</v>
          </cell>
          <cell r="AA101">
            <v>354556.7</v>
          </cell>
          <cell r="AB101">
            <v>3379860</v>
          </cell>
          <cell r="AC101">
            <v>0.35</v>
          </cell>
          <cell r="AD101">
            <v>354556.7</v>
          </cell>
          <cell r="AE101">
            <v>3379860</v>
          </cell>
          <cell r="AF101">
            <v>0.35</v>
          </cell>
          <cell r="AG101">
            <v>354556.7</v>
          </cell>
          <cell r="AH101">
            <v>7510.8</v>
          </cell>
        </row>
        <row r="102">
          <cell r="C102">
            <v>34366</v>
          </cell>
          <cell r="D102">
            <v>261320</v>
          </cell>
          <cell r="E102">
            <v>0.15</v>
          </cell>
          <cell r="F102">
            <v>39198</v>
          </cell>
          <cell r="G102">
            <v>509574</v>
          </cell>
          <cell r="H102">
            <v>0.26600000000000001</v>
          </cell>
          <cell r="I102">
            <v>98358.24</v>
          </cell>
          <cell r="J102">
            <v>4703760</v>
          </cell>
          <cell r="K102">
            <v>0.35</v>
          </cell>
          <cell r="L102">
            <v>493437.49</v>
          </cell>
          <cell r="M102">
            <v>4703760</v>
          </cell>
          <cell r="N102">
            <v>0.35</v>
          </cell>
          <cell r="O102">
            <v>493437.49</v>
          </cell>
          <cell r="P102">
            <v>4703760</v>
          </cell>
          <cell r="Q102">
            <v>0.35</v>
          </cell>
          <cell r="R102">
            <v>493437.49</v>
          </cell>
          <cell r="S102">
            <v>4703760</v>
          </cell>
          <cell r="T102">
            <v>0.35</v>
          </cell>
          <cell r="U102">
            <v>493437.49</v>
          </cell>
          <cell r="V102">
            <v>4703760</v>
          </cell>
          <cell r="W102">
            <v>0.35</v>
          </cell>
          <cell r="X102">
            <v>493437.49</v>
          </cell>
          <cell r="Y102">
            <v>4703760</v>
          </cell>
          <cell r="Z102">
            <v>0.35</v>
          </cell>
          <cell r="AA102">
            <v>493437.49</v>
          </cell>
          <cell r="AB102">
            <v>4703760</v>
          </cell>
          <cell r="AC102">
            <v>0.35</v>
          </cell>
          <cell r="AD102">
            <v>493437.49</v>
          </cell>
          <cell r="AE102">
            <v>4703760</v>
          </cell>
          <cell r="AF102">
            <v>0.35</v>
          </cell>
          <cell r="AG102">
            <v>493437.49</v>
          </cell>
          <cell r="AH102">
            <v>10452.799999999999</v>
          </cell>
        </row>
        <row r="103">
          <cell r="C103">
            <v>34394</v>
          </cell>
          <cell r="D103">
            <v>365060</v>
          </cell>
          <cell r="E103">
            <v>0.15</v>
          </cell>
          <cell r="F103">
            <v>54759</v>
          </cell>
          <cell r="G103">
            <v>711867</v>
          </cell>
          <cell r="H103">
            <v>0.26600000000000001</v>
          </cell>
          <cell r="I103">
            <v>137404.94</v>
          </cell>
          <cell r="J103">
            <v>6571080</v>
          </cell>
          <cell r="K103">
            <v>0.35</v>
          </cell>
          <cell r="L103">
            <v>689324.55</v>
          </cell>
          <cell r="M103">
            <v>6571080</v>
          </cell>
          <cell r="N103">
            <v>0.35</v>
          </cell>
          <cell r="O103">
            <v>689324.55</v>
          </cell>
          <cell r="P103">
            <v>6571080</v>
          </cell>
          <cell r="Q103">
            <v>0.35</v>
          </cell>
          <cell r="R103">
            <v>689324.55</v>
          </cell>
          <cell r="S103">
            <v>6571080</v>
          </cell>
          <cell r="T103">
            <v>0.35</v>
          </cell>
          <cell r="U103">
            <v>689324.55</v>
          </cell>
          <cell r="V103">
            <v>6571080</v>
          </cell>
          <cell r="W103">
            <v>0.35</v>
          </cell>
          <cell r="X103">
            <v>689324.55</v>
          </cell>
          <cell r="Y103">
            <v>6571080</v>
          </cell>
          <cell r="Z103">
            <v>0.35</v>
          </cell>
          <cell r="AA103">
            <v>689324.55</v>
          </cell>
          <cell r="AB103">
            <v>6571080</v>
          </cell>
          <cell r="AC103">
            <v>0.35</v>
          </cell>
          <cell r="AD103">
            <v>689324.55</v>
          </cell>
          <cell r="AE103">
            <v>6571080</v>
          </cell>
          <cell r="AF103">
            <v>0.35</v>
          </cell>
          <cell r="AG103">
            <v>689324.55</v>
          </cell>
          <cell r="AH103">
            <v>14602.4</v>
          </cell>
        </row>
        <row r="104">
          <cell r="C104">
            <v>34425</v>
          </cell>
          <cell r="D104">
            <v>524340</v>
          </cell>
          <cell r="E104">
            <v>0.15</v>
          </cell>
          <cell r="F104">
            <v>78651</v>
          </cell>
          <cell r="G104">
            <v>1022463</v>
          </cell>
          <cell r="H104">
            <v>0.26600000000000001</v>
          </cell>
          <cell r="I104">
            <v>197356.33</v>
          </cell>
          <cell r="J104">
            <v>9438120</v>
          </cell>
          <cell r="K104">
            <v>0.35</v>
          </cell>
          <cell r="L104">
            <v>990085.01</v>
          </cell>
          <cell r="M104">
            <v>9438120</v>
          </cell>
          <cell r="N104">
            <v>0.35</v>
          </cell>
          <cell r="O104">
            <v>990085.01</v>
          </cell>
          <cell r="P104">
            <v>9438120</v>
          </cell>
          <cell r="Q104">
            <v>0.35</v>
          </cell>
          <cell r="R104">
            <v>990085.01</v>
          </cell>
          <cell r="S104">
            <v>9438120</v>
          </cell>
          <cell r="T104">
            <v>0.35</v>
          </cell>
          <cell r="U104">
            <v>990085.01</v>
          </cell>
          <cell r="V104">
            <v>9438120</v>
          </cell>
          <cell r="W104">
            <v>0.35</v>
          </cell>
          <cell r="X104">
            <v>990085.01</v>
          </cell>
          <cell r="Y104">
            <v>9438120</v>
          </cell>
          <cell r="Z104">
            <v>0.35</v>
          </cell>
          <cell r="AA104">
            <v>990085.01</v>
          </cell>
          <cell r="AB104">
            <v>9438120</v>
          </cell>
          <cell r="AC104">
            <v>0.35</v>
          </cell>
          <cell r="AD104">
            <v>990085.01</v>
          </cell>
          <cell r="AE104">
            <v>9438120</v>
          </cell>
          <cell r="AF104">
            <v>0.35</v>
          </cell>
          <cell r="AG104">
            <v>990085.01</v>
          </cell>
          <cell r="AH104">
            <v>20973.599999999999</v>
          </cell>
        </row>
        <row r="105">
          <cell r="C105">
            <v>34455</v>
          </cell>
          <cell r="D105">
            <v>740630</v>
          </cell>
          <cell r="E105">
            <v>0.15</v>
          </cell>
          <cell r="F105">
            <v>111094.5</v>
          </cell>
          <cell r="G105">
            <v>1444228.5</v>
          </cell>
          <cell r="H105">
            <v>0.26600000000000001</v>
          </cell>
          <cell r="I105">
            <v>278765.73</v>
          </cell>
          <cell r="J105">
            <v>13331340</v>
          </cell>
          <cell r="K105">
            <v>0.35</v>
          </cell>
          <cell r="L105">
            <v>1398493.6</v>
          </cell>
          <cell r="M105">
            <v>13331340</v>
          </cell>
          <cell r="N105">
            <v>0.35</v>
          </cell>
          <cell r="O105">
            <v>1398493.6</v>
          </cell>
          <cell r="P105">
            <v>13331340</v>
          </cell>
          <cell r="Q105">
            <v>0.35</v>
          </cell>
          <cell r="R105">
            <v>1398493.6</v>
          </cell>
          <cell r="S105">
            <v>13331340</v>
          </cell>
          <cell r="T105">
            <v>0.35</v>
          </cell>
          <cell r="U105">
            <v>1398493.6</v>
          </cell>
          <cell r="V105">
            <v>13331340</v>
          </cell>
          <cell r="W105">
            <v>0.35</v>
          </cell>
          <cell r="X105">
            <v>1398493.6</v>
          </cell>
          <cell r="Y105">
            <v>13331340</v>
          </cell>
          <cell r="Z105">
            <v>0.35</v>
          </cell>
          <cell r="AA105">
            <v>1398493.6</v>
          </cell>
          <cell r="AB105">
            <v>13331340</v>
          </cell>
          <cell r="AC105">
            <v>0.35</v>
          </cell>
          <cell r="AD105">
            <v>1398493.6</v>
          </cell>
          <cell r="AE105">
            <v>13331340</v>
          </cell>
          <cell r="AF105">
            <v>0.35</v>
          </cell>
          <cell r="AG105">
            <v>1398493.6</v>
          </cell>
          <cell r="AH105">
            <v>29625.200000000001</v>
          </cell>
        </row>
        <row r="106">
          <cell r="C106">
            <v>34486</v>
          </cell>
          <cell r="D106">
            <v>1068060</v>
          </cell>
          <cell r="E106">
            <v>0.15</v>
          </cell>
          <cell r="F106">
            <v>160209</v>
          </cell>
          <cell r="G106">
            <v>2082717</v>
          </cell>
          <cell r="H106">
            <v>0.26600000000000001</v>
          </cell>
          <cell r="I106">
            <v>402007.1</v>
          </cell>
          <cell r="J106">
            <v>19225080</v>
          </cell>
          <cell r="K106">
            <v>0.35</v>
          </cell>
          <cell r="L106">
            <v>2016764.3</v>
          </cell>
          <cell r="M106">
            <v>19225080</v>
          </cell>
          <cell r="N106">
            <v>0.35</v>
          </cell>
          <cell r="O106">
            <v>2016764.3</v>
          </cell>
          <cell r="P106">
            <v>19225080</v>
          </cell>
          <cell r="Q106">
            <v>0.35</v>
          </cell>
          <cell r="R106">
            <v>2016764.3</v>
          </cell>
          <cell r="S106">
            <v>19225080</v>
          </cell>
          <cell r="T106">
            <v>0.35</v>
          </cell>
          <cell r="U106">
            <v>2016764.3</v>
          </cell>
          <cell r="V106">
            <v>19225080</v>
          </cell>
          <cell r="W106">
            <v>0.35</v>
          </cell>
          <cell r="X106">
            <v>2016764.3</v>
          </cell>
          <cell r="Y106">
            <v>19225080</v>
          </cell>
          <cell r="Z106">
            <v>0.35</v>
          </cell>
          <cell r="AA106">
            <v>2016764.3</v>
          </cell>
          <cell r="AB106">
            <v>19225080</v>
          </cell>
          <cell r="AC106">
            <v>0.35</v>
          </cell>
          <cell r="AD106">
            <v>2016764.3</v>
          </cell>
          <cell r="AE106">
            <v>19225080</v>
          </cell>
          <cell r="AF106">
            <v>0.35</v>
          </cell>
          <cell r="AG106">
            <v>2016764.3</v>
          </cell>
          <cell r="AH106">
            <v>42722.400000000001</v>
          </cell>
        </row>
        <row r="107">
          <cell r="C107">
            <v>34516</v>
          </cell>
          <cell r="D107">
            <v>561.79999999999995</v>
          </cell>
          <cell r="E107">
            <v>0.15</v>
          </cell>
          <cell r="F107">
            <v>84.27</v>
          </cell>
          <cell r="G107">
            <v>1095.51</v>
          </cell>
          <cell r="H107">
            <v>0.26600000000000001</v>
          </cell>
          <cell r="I107">
            <v>211.46</v>
          </cell>
          <cell r="J107">
            <v>10112.4</v>
          </cell>
          <cell r="K107">
            <v>0.35</v>
          </cell>
          <cell r="L107">
            <v>1060.82</v>
          </cell>
          <cell r="M107">
            <v>10112.4</v>
          </cell>
          <cell r="N107">
            <v>0.35</v>
          </cell>
          <cell r="O107">
            <v>1060.82</v>
          </cell>
          <cell r="P107">
            <v>10112.4</v>
          </cell>
          <cell r="Q107">
            <v>0.35</v>
          </cell>
          <cell r="R107">
            <v>1060.82</v>
          </cell>
          <cell r="S107">
            <v>10112.4</v>
          </cell>
          <cell r="T107">
            <v>0.35</v>
          </cell>
          <cell r="U107">
            <v>1060.82</v>
          </cell>
          <cell r="V107">
            <v>10112.4</v>
          </cell>
          <cell r="W107">
            <v>0.35</v>
          </cell>
          <cell r="X107">
            <v>1060.82</v>
          </cell>
          <cell r="Y107">
            <v>10112.4</v>
          </cell>
          <cell r="Z107">
            <v>0.35</v>
          </cell>
          <cell r="AA107">
            <v>1060.82</v>
          </cell>
          <cell r="AB107">
            <v>10112.4</v>
          </cell>
          <cell r="AC107">
            <v>0.35</v>
          </cell>
          <cell r="AD107">
            <v>1060.82</v>
          </cell>
          <cell r="AE107">
            <v>10112.4</v>
          </cell>
          <cell r="AF107">
            <v>0.35</v>
          </cell>
          <cell r="AG107">
            <v>1060.82</v>
          </cell>
          <cell r="AH107">
            <v>22.47</v>
          </cell>
        </row>
        <row r="108">
          <cell r="C108">
            <v>34547</v>
          </cell>
          <cell r="D108">
            <v>591.1</v>
          </cell>
          <cell r="E108">
            <v>0.15</v>
          </cell>
          <cell r="F108">
            <v>88.66</v>
          </cell>
          <cell r="G108">
            <v>1152.6500000000001</v>
          </cell>
          <cell r="H108">
            <v>0.26600000000000001</v>
          </cell>
          <cell r="I108">
            <v>222.49</v>
          </cell>
          <cell r="J108">
            <v>10639.8</v>
          </cell>
          <cell r="K108">
            <v>0.35</v>
          </cell>
          <cell r="L108">
            <v>1116.1400000000001</v>
          </cell>
          <cell r="M108">
            <v>10639.8</v>
          </cell>
          <cell r="N108">
            <v>0.35</v>
          </cell>
          <cell r="O108">
            <v>1116.1400000000001</v>
          </cell>
          <cell r="P108">
            <v>10639.8</v>
          </cell>
          <cell r="Q108">
            <v>0.35</v>
          </cell>
          <cell r="R108">
            <v>1116.1400000000001</v>
          </cell>
          <cell r="S108">
            <v>10639.8</v>
          </cell>
          <cell r="T108">
            <v>0.35</v>
          </cell>
          <cell r="U108">
            <v>1116.1400000000001</v>
          </cell>
          <cell r="V108">
            <v>10639.8</v>
          </cell>
          <cell r="W108">
            <v>0.35</v>
          </cell>
          <cell r="X108">
            <v>1116.1400000000001</v>
          </cell>
          <cell r="Y108">
            <v>10639.8</v>
          </cell>
          <cell r="Z108">
            <v>0.35</v>
          </cell>
          <cell r="AA108">
            <v>1116.1400000000001</v>
          </cell>
          <cell r="AB108">
            <v>10639.8</v>
          </cell>
          <cell r="AC108">
            <v>0.35</v>
          </cell>
          <cell r="AD108">
            <v>1116.1400000000001</v>
          </cell>
          <cell r="AE108">
            <v>10639.8</v>
          </cell>
          <cell r="AF108">
            <v>0.35</v>
          </cell>
          <cell r="AG108">
            <v>1116.1400000000001</v>
          </cell>
          <cell r="AH108">
            <v>23.64</v>
          </cell>
        </row>
        <row r="109">
          <cell r="C109">
            <v>34578</v>
          </cell>
          <cell r="D109">
            <v>620.70000000000005</v>
          </cell>
          <cell r="E109">
            <v>0.15</v>
          </cell>
          <cell r="F109">
            <v>93.1</v>
          </cell>
          <cell r="G109">
            <v>1210.3599999999999</v>
          </cell>
          <cell r="H109">
            <v>0.26600000000000001</v>
          </cell>
          <cell r="I109">
            <v>233.63</v>
          </cell>
          <cell r="J109">
            <v>11172.6</v>
          </cell>
          <cell r="K109">
            <v>0.35</v>
          </cell>
          <cell r="L109">
            <v>1172.04</v>
          </cell>
          <cell r="M109">
            <v>11172.6</v>
          </cell>
          <cell r="N109">
            <v>0.35</v>
          </cell>
          <cell r="O109">
            <v>1172.04</v>
          </cell>
          <cell r="P109">
            <v>11172.6</v>
          </cell>
          <cell r="Q109">
            <v>0.35</v>
          </cell>
          <cell r="R109">
            <v>1172.04</v>
          </cell>
          <cell r="S109">
            <v>11172.6</v>
          </cell>
          <cell r="T109">
            <v>0.35</v>
          </cell>
          <cell r="U109">
            <v>1172.04</v>
          </cell>
          <cell r="V109">
            <v>11172.6</v>
          </cell>
          <cell r="W109">
            <v>0.35</v>
          </cell>
          <cell r="X109">
            <v>1172.04</v>
          </cell>
          <cell r="Y109">
            <v>11172.6</v>
          </cell>
          <cell r="Z109">
            <v>0.35</v>
          </cell>
          <cell r="AA109">
            <v>1172.04</v>
          </cell>
          <cell r="AB109">
            <v>11172.6</v>
          </cell>
          <cell r="AC109">
            <v>0.35</v>
          </cell>
          <cell r="AD109">
            <v>1172.04</v>
          </cell>
          <cell r="AE109">
            <v>11172.6</v>
          </cell>
          <cell r="AF109">
            <v>0.35</v>
          </cell>
          <cell r="AG109">
            <v>1172.04</v>
          </cell>
          <cell r="AH109">
            <v>62.07</v>
          </cell>
        </row>
        <row r="110">
          <cell r="C110">
            <v>34608</v>
          </cell>
          <cell r="D110">
            <v>630.79999999999995</v>
          </cell>
          <cell r="E110">
            <v>0.15</v>
          </cell>
          <cell r="F110">
            <v>94.62</v>
          </cell>
          <cell r="G110">
            <v>1230.06</v>
          </cell>
          <cell r="H110">
            <v>0.26600000000000001</v>
          </cell>
          <cell r="I110">
            <v>237.43</v>
          </cell>
          <cell r="J110">
            <v>11354.4</v>
          </cell>
          <cell r="K110">
            <v>0.35</v>
          </cell>
          <cell r="L110">
            <v>1191.1099999999999</v>
          </cell>
          <cell r="M110">
            <v>11354.4</v>
          </cell>
          <cell r="N110">
            <v>0.35</v>
          </cell>
          <cell r="O110">
            <v>1191.1099999999999</v>
          </cell>
          <cell r="P110">
            <v>11354.4</v>
          </cell>
          <cell r="Q110">
            <v>0.35</v>
          </cell>
          <cell r="R110">
            <v>1191.1099999999999</v>
          </cell>
          <cell r="S110">
            <v>11354.4</v>
          </cell>
          <cell r="T110">
            <v>0.35</v>
          </cell>
          <cell r="U110">
            <v>1191.1099999999999</v>
          </cell>
          <cell r="V110">
            <v>11354.4</v>
          </cell>
          <cell r="W110">
            <v>0.35</v>
          </cell>
          <cell r="X110">
            <v>1191.1099999999999</v>
          </cell>
          <cell r="Y110">
            <v>11354.4</v>
          </cell>
          <cell r="Z110">
            <v>0.35</v>
          </cell>
          <cell r="AA110">
            <v>1191.1099999999999</v>
          </cell>
          <cell r="AB110">
            <v>11354.4</v>
          </cell>
          <cell r="AC110">
            <v>0.35</v>
          </cell>
          <cell r="AD110">
            <v>1191.1099999999999</v>
          </cell>
          <cell r="AE110">
            <v>11354.4</v>
          </cell>
          <cell r="AF110">
            <v>0.35</v>
          </cell>
          <cell r="AG110">
            <v>1191.1099999999999</v>
          </cell>
          <cell r="AH110">
            <v>63.08</v>
          </cell>
        </row>
        <row r="111">
          <cell r="C111">
            <v>34639</v>
          </cell>
          <cell r="D111">
            <v>642.79999999999995</v>
          </cell>
          <cell r="E111">
            <v>0.15</v>
          </cell>
          <cell r="F111">
            <v>96.42</v>
          </cell>
          <cell r="G111">
            <v>1253.46</v>
          </cell>
          <cell r="H111">
            <v>0.26600000000000001</v>
          </cell>
          <cell r="I111">
            <v>241.94</v>
          </cell>
          <cell r="J111">
            <v>11570.4</v>
          </cell>
          <cell r="K111">
            <v>0.35</v>
          </cell>
          <cell r="L111">
            <v>1213.77</v>
          </cell>
          <cell r="M111">
            <v>11570.4</v>
          </cell>
          <cell r="N111">
            <v>0.35</v>
          </cell>
          <cell r="O111">
            <v>1213.77</v>
          </cell>
          <cell r="P111">
            <v>11570.4</v>
          </cell>
          <cell r="Q111">
            <v>0.35</v>
          </cell>
          <cell r="R111">
            <v>1213.77</v>
          </cell>
          <cell r="S111">
            <v>11570.4</v>
          </cell>
          <cell r="T111">
            <v>0.35</v>
          </cell>
          <cell r="U111">
            <v>1213.77</v>
          </cell>
          <cell r="V111">
            <v>11570.4</v>
          </cell>
          <cell r="W111">
            <v>0.35</v>
          </cell>
          <cell r="X111">
            <v>1213.77</v>
          </cell>
          <cell r="Y111">
            <v>11570.4</v>
          </cell>
          <cell r="Z111">
            <v>0.35</v>
          </cell>
          <cell r="AA111">
            <v>1213.77</v>
          </cell>
          <cell r="AB111">
            <v>11570.4</v>
          </cell>
          <cell r="AC111">
            <v>0.35</v>
          </cell>
          <cell r="AD111">
            <v>1213.77</v>
          </cell>
          <cell r="AE111">
            <v>11570.4</v>
          </cell>
          <cell r="AF111">
            <v>0.35</v>
          </cell>
          <cell r="AG111">
            <v>1213.77</v>
          </cell>
          <cell r="AH111">
            <v>64.28</v>
          </cell>
        </row>
        <row r="112">
          <cell r="C112">
            <v>34669</v>
          </cell>
          <cell r="D112">
            <v>661.8</v>
          </cell>
          <cell r="E112">
            <v>0.15</v>
          </cell>
          <cell r="F112">
            <v>99.27</v>
          </cell>
          <cell r="G112">
            <v>1290.51</v>
          </cell>
          <cell r="H112">
            <v>0.26600000000000001</v>
          </cell>
          <cell r="I112">
            <v>249.1</v>
          </cell>
          <cell r="J112">
            <v>11912.4</v>
          </cell>
          <cell r="K112">
            <v>0.35</v>
          </cell>
          <cell r="L112">
            <v>1249.6400000000001</v>
          </cell>
          <cell r="M112">
            <v>11912.4</v>
          </cell>
          <cell r="N112">
            <v>0.35</v>
          </cell>
          <cell r="O112">
            <v>1249.6400000000001</v>
          </cell>
          <cell r="P112">
            <v>11912.4</v>
          </cell>
          <cell r="Q112">
            <v>0.35</v>
          </cell>
          <cell r="R112">
            <v>1249.6400000000001</v>
          </cell>
          <cell r="S112">
            <v>11912.4</v>
          </cell>
          <cell r="T112">
            <v>0.35</v>
          </cell>
          <cell r="U112">
            <v>1249.6400000000001</v>
          </cell>
          <cell r="V112">
            <v>11912.4</v>
          </cell>
          <cell r="W112">
            <v>0.35</v>
          </cell>
          <cell r="X112">
            <v>1249.6400000000001</v>
          </cell>
          <cell r="Y112">
            <v>11912.4</v>
          </cell>
          <cell r="Z112">
            <v>0.35</v>
          </cell>
          <cell r="AA112">
            <v>1249.6400000000001</v>
          </cell>
          <cell r="AB112">
            <v>11912.4</v>
          </cell>
          <cell r="AC112">
            <v>0.35</v>
          </cell>
          <cell r="AD112">
            <v>1249.6400000000001</v>
          </cell>
          <cell r="AE112">
            <v>11912.4</v>
          </cell>
          <cell r="AF112">
            <v>0.35</v>
          </cell>
          <cell r="AG112">
            <v>1249.6400000000001</v>
          </cell>
          <cell r="AH112">
            <v>66.180000000000007</v>
          </cell>
        </row>
        <row r="113">
          <cell r="C113">
            <v>34700</v>
          </cell>
          <cell r="D113">
            <v>676.7</v>
          </cell>
          <cell r="E113">
            <v>0.15</v>
          </cell>
          <cell r="F113">
            <v>101.51</v>
          </cell>
          <cell r="G113">
            <v>1319.57</v>
          </cell>
          <cell r="H113">
            <v>0.26600000000000001</v>
          </cell>
          <cell r="I113">
            <v>254.7</v>
          </cell>
          <cell r="J113">
            <v>12180.6</v>
          </cell>
          <cell r="K113">
            <v>0.35</v>
          </cell>
          <cell r="L113">
            <v>1277.78</v>
          </cell>
          <cell r="M113">
            <v>12180.6</v>
          </cell>
          <cell r="N113">
            <v>0.35</v>
          </cell>
          <cell r="O113">
            <v>1277.78</v>
          </cell>
          <cell r="P113">
            <v>12180.6</v>
          </cell>
          <cell r="Q113">
            <v>0.35</v>
          </cell>
          <cell r="R113">
            <v>1277.78</v>
          </cell>
          <cell r="S113">
            <v>12180.6</v>
          </cell>
          <cell r="T113">
            <v>0.35</v>
          </cell>
          <cell r="U113">
            <v>1277.78</v>
          </cell>
          <cell r="V113">
            <v>12180.6</v>
          </cell>
          <cell r="W113">
            <v>0.35</v>
          </cell>
          <cell r="X113">
            <v>1277.78</v>
          </cell>
          <cell r="Y113">
            <v>12180.6</v>
          </cell>
          <cell r="Z113">
            <v>0.35</v>
          </cell>
          <cell r="AA113">
            <v>1277.78</v>
          </cell>
          <cell r="AB113">
            <v>12180.6</v>
          </cell>
          <cell r="AC113">
            <v>0.35</v>
          </cell>
          <cell r="AD113">
            <v>1277.78</v>
          </cell>
          <cell r="AE113">
            <v>12180.6</v>
          </cell>
          <cell r="AF113">
            <v>0.35</v>
          </cell>
          <cell r="AG113">
            <v>1277.78</v>
          </cell>
          <cell r="AH113">
            <v>67.67</v>
          </cell>
        </row>
        <row r="114">
          <cell r="C114">
            <v>34731</v>
          </cell>
          <cell r="D114">
            <v>676.7</v>
          </cell>
          <cell r="E114">
            <v>0.15</v>
          </cell>
          <cell r="F114">
            <v>101.51</v>
          </cell>
          <cell r="G114">
            <v>1319.57</v>
          </cell>
          <cell r="H114">
            <v>0.26600000000000001</v>
          </cell>
          <cell r="I114">
            <v>254.7</v>
          </cell>
          <cell r="J114">
            <v>12180.6</v>
          </cell>
          <cell r="K114">
            <v>0.35</v>
          </cell>
          <cell r="L114">
            <v>1277.78</v>
          </cell>
          <cell r="M114">
            <v>12180.6</v>
          </cell>
          <cell r="N114">
            <v>0.35</v>
          </cell>
          <cell r="O114">
            <v>1277.78</v>
          </cell>
          <cell r="P114">
            <v>12180.6</v>
          </cell>
          <cell r="Q114">
            <v>0.35</v>
          </cell>
          <cell r="R114">
            <v>1277.78</v>
          </cell>
          <cell r="S114">
            <v>12180.6</v>
          </cell>
          <cell r="T114">
            <v>0.35</v>
          </cell>
          <cell r="U114">
            <v>1277.78</v>
          </cell>
          <cell r="V114">
            <v>12180.6</v>
          </cell>
          <cell r="W114">
            <v>0.35</v>
          </cell>
          <cell r="X114">
            <v>1277.78</v>
          </cell>
          <cell r="Y114">
            <v>12180.6</v>
          </cell>
          <cell r="Z114">
            <v>0.35</v>
          </cell>
          <cell r="AA114">
            <v>1277.78</v>
          </cell>
          <cell r="AB114">
            <v>12180.6</v>
          </cell>
          <cell r="AC114">
            <v>0.35</v>
          </cell>
          <cell r="AD114">
            <v>1277.78</v>
          </cell>
          <cell r="AE114">
            <v>12180.6</v>
          </cell>
          <cell r="AF114">
            <v>0.35</v>
          </cell>
          <cell r="AG114">
            <v>1277.78</v>
          </cell>
          <cell r="AH114">
            <v>67.67</v>
          </cell>
        </row>
        <row r="115">
          <cell r="C115">
            <v>34759</v>
          </cell>
          <cell r="D115">
            <v>676.7</v>
          </cell>
          <cell r="E115">
            <v>0.15</v>
          </cell>
          <cell r="F115">
            <v>101.51</v>
          </cell>
          <cell r="G115">
            <v>1319.57</v>
          </cell>
          <cell r="H115">
            <v>0.26600000000000001</v>
          </cell>
          <cell r="I115">
            <v>254.7</v>
          </cell>
          <cell r="J115">
            <v>12180.6</v>
          </cell>
          <cell r="K115">
            <v>0.35</v>
          </cell>
          <cell r="L115">
            <v>1277.78</v>
          </cell>
          <cell r="M115">
            <v>12180.6</v>
          </cell>
          <cell r="N115">
            <v>0.35</v>
          </cell>
          <cell r="O115">
            <v>1277.78</v>
          </cell>
          <cell r="P115">
            <v>12180.6</v>
          </cell>
          <cell r="Q115">
            <v>0.35</v>
          </cell>
          <cell r="R115">
            <v>1277.78</v>
          </cell>
          <cell r="S115">
            <v>12180.6</v>
          </cell>
          <cell r="T115">
            <v>0.35</v>
          </cell>
          <cell r="U115">
            <v>1277.78</v>
          </cell>
          <cell r="V115">
            <v>12180.6</v>
          </cell>
          <cell r="W115">
            <v>0.35</v>
          </cell>
          <cell r="X115">
            <v>1277.78</v>
          </cell>
          <cell r="Y115">
            <v>12180.6</v>
          </cell>
          <cell r="Z115">
            <v>0.35</v>
          </cell>
          <cell r="AA115">
            <v>1277.78</v>
          </cell>
          <cell r="AB115">
            <v>12180.6</v>
          </cell>
          <cell r="AC115">
            <v>0.35</v>
          </cell>
          <cell r="AD115">
            <v>1277.78</v>
          </cell>
          <cell r="AE115">
            <v>12180.6</v>
          </cell>
          <cell r="AF115">
            <v>0.35</v>
          </cell>
          <cell r="AG115">
            <v>1277.78</v>
          </cell>
          <cell r="AH115">
            <v>67.67</v>
          </cell>
        </row>
        <row r="116">
          <cell r="C116">
            <v>34790</v>
          </cell>
          <cell r="D116">
            <v>706.1</v>
          </cell>
          <cell r="E116">
            <v>0.15</v>
          </cell>
          <cell r="F116">
            <v>105.91</v>
          </cell>
          <cell r="G116">
            <v>1376.84</v>
          </cell>
          <cell r="H116">
            <v>0.26600000000000001</v>
          </cell>
          <cell r="I116">
            <v>265.76</v>
          </cell>
          <cell r="J116">
            <v>12709.24</v>
          </cell>
          <cell r="K116">
            <v>0.35</v>
          </cell>
          <cell r="L116">
            <v>1333.23</v>
          </cell>
          <cell r="M116">
            <v>12709.24</v>
          </cell>
          <cell r="N116">
            <v>0.35</v>
          </cell>
          <cell r="O116">
            <v>1333.23</v>
          </cell>
          <cell r="P116">
            <v>12709.24</v>
          </cell>
          <cell r="Q116">
            <v>0.35</v>
          </cell>
          <cell r="R116">
            <v>1333.23</v>
          </cell>
          <cell r="S116">
            <v>12709.24</v>
          </cell>
          <cell r="T116">
            <v>0.35</v>
          </cell>
          <cell r="U116">
            <v>1333.23</v>
          </cell>
          <cell r="V116">
            <v>12709.24</v>
          </cell>
          <cell r="W116">
            <v>0.35</v>
          </cell>
          <cell r="X116">
            <v>1333.23</v>
          </cell>
          <cell r="Y116">
            <v>12709.24</v>
          </cell>
          <cell r="Z116">
            <v>0.35</v>
          </cell>
          <cell r="AA116">
            <v>1333.23</v>
          </cell>
          <cell r="AB116">
            <v>12709.24</v>
          </cell>
          <cell r="AC116">
            <v>0.35</v>
          </cell>
          <cell r="AD116">
            <v>1333.23</v>
          </cell>
          <cell r="AE116">
            <v>12709.24</v>
          </cell>
          <cell r="AF116">
            <v>0.35</v>
          </cell>
          <cell r="AG116">
            <v>1333.23</v>
          </cell>
          <cell r="AH116">
            <v>70.61</v>
          </cell>
        </row>
        <row r="117">
          <cell r="C117">
            <v>34820</v>
          </cell>
          <cell r="D117">
            <v>706.1</v>
          </cell>
          <cell r="E117">
            <v>0.15</v>
          </cell>
          <cell r="F117">
            <v>105.91</v>
          </cell>
          <cell r="G117">
            <v>1376.84</v>
          </cell>
          <cell r="H117">
            <v>0.26600000000000001</v>
          </cell>
          <cell r="I117">
            <v>265.76</v>
          </cell>
          <cell r="J117">
            <v>12709.24</v>
          </cell>
          <cell r="K117">
            <v>0.35</v>
          </cell>
          <cell r="L117">
            <v>1333.23</v>
          </cell>
          <cell r="M117">
            <v>12709.24</v>
          </cell>
          <cell r="N117">
            <v>0.35</v>
          </cell>
          <cell r="O117">
            <v>1333.23</v>
          </cell>
          <cell r="P117">
            <v>12709.24</v>
          </cell>
          <cell r="Q117">
            <v>0.35</v>
          </cell>
          <cell r="R117">
            <v>1333.23</v>
          </cell>
          <cell r="S117">
            <v>12709.24</v>
          </cell>
          <cell r="T117">
            <v>0.35</v>
          </cell>
          <cell r="U117">
            <v>1333.23</v>
          </cell>
          <cell r="V117">
            <v>12709.24</v>
          </cell>
          <cell r="W117">
            <v>0.35</v>
          </cell>
          <cell r="X117">
            <v>1333.23</v>
          </cell>
          <cell r="Y117">
            <v>12709.24</v>
          </cell>
          <cell r="Z117">
            <v>0.35</v>
          </cell>
          <cell r="AA117">
            <v>1333.23</v>
          </cell>
          <cell r="AB117">
            <v>12709.24</v>
          </cell>
          <cell r="AC117">
            <v>0.35</v>
          </cell>
          <cell r="AD117">
            <v>1333.23</v>
          </cell>
          <cell r="AE117">
            <v>12709.24</v>
          </cell>
          <cell r="AF117">
            <v>0.35</v>
          </cell>
          <cell r="AG117">
            <v>1333.23</v>
          </cell>
          <cell r="AH117">
            <v>70.61</v>
          </cell>
        </row>
        <row r="118">
          <cell r="C118">
            <v>34851</v>
          </cell>
          <cell r="D118">
            <v>706.1</v>
          </cell>
          <cell r="E118">
            <v>0.15</v>
          </cell>
          <cell r="F118">
            <v>105.91</v>
          </cell>
          <cell r="G118">
            <v>1376.84</v>
          </cell>
          <cell r="H118">
            <v>0.26600000000000001</v>
          </cell>
          <cell r="I118">
            <v>265.76</v>
          </cell>
          <cell r="J118">
            <v>12709.24</v>
          </cell>
          <cell r="K118">
            <v>0.35</v>
          </cell>
          <cell r="L118">
            <v>1333.23</v>
          </cell>
          <cell r="M118">
            <v>12709.24</v>
          </cell>
          <cell r="N118">
            <v>0.35</v>
          </cell>
          <cell r="O118">
            <v>1333.23</v>
          </cell>
          <cell r="P118">
            <v>12709.24</v>
          </cell>
          <cell r="Q118">
            <v>0.35</v>
          </cell>
          <cell r="R118">
            <v>1333.23</v>
          </cell>
          <cell r="S118">
            <v>12709.24</v>
          </cell>
          <cell r="T118">
            <v>0.35</v>
          </cell>
          <cell r="U118">
            <v>1333.23</v>
          </cell>
          <cell r="V118">
            <v>12709.24</v>
          </cell>
          <cell r="W118">
            <v>0.35</v>
          </cell>
          <cell r="X118">
            <v>1333.23</v>
          </cell>
          <cell r="Y118">
            <v>12709.24</v>
          </cell>
          <cell r="Z118">
            <v>0.35</v>
          </cell>
          <cell r="AA118">
            <v>1333.23</v>
          </cell>
          <cell r="AB118">
            <v>12709.24</v>
          </cell>
          <cell r="AC118">
            <v>0.35</v>
          </cell>
          <cell r="AD118">
            <v>1333.23</v>
          </cell>
          <cell r="AE118">
            <v>12709.24</v>
          </cell>
          <cell r="AF118">
            <v>0.35</v>
          </cell>
          <cell r="AG118">
            <v>1333.23</v>
          </cell>
          <cell r="AH118">
            <v>70.61</v>
          </cell>
        </row>
        <row r="119">
          <cell r="C119">
            <v>34881</v>
          </cell>
          <cell r="D119">
            <v>756.44</v>
          </cell>
          <cell r="E119">
            <v>0.15</v>
          </cell>
          <cell r="F119">
            <v>113.47</v>
          </cell>
          <cell r="G119">
            <v>1475.01</v>
          </cell>
          <cell r="H119">
            <v>0.26600000000000001</v>
          </cell>
          <cell r="I119">
            <v>284.70999999999998</v>
          </cell>
          <cell r="J119">
            <v>13615.41</v>
          </cell>
          <cell r="K119">
            <v>0.35</v>
          </cell>
          <cell r="L119">
            <v>1428.29</v>
          </cell>
          <cell r="M119">
            <v>13615.41</v>
          </cell>
          <cell r="N119">
            <v>0.35</v>
          </cell>
          <cell r="O119">
            <v>1428.29</v>
          </cell>
          <cell r="P119">
            <v>13615.41</v>
          </cell>
          <cell r="Q119">
            <v>0.35</v>
          </cell>
          <cell r="R119">
            <v>1428.29</v>
          </cell>
          <cell r="S119">
            <v>13615.41</v>
          </cell>
          <cell r="T119">
            <v>0.35</v>
          </cell>
          <cell r="U119">
            <v>1428.29</v>
          </cell>
          <cell r="V119">
            <v>13615.41</v>
          </cell>
          <cell r="W119">
            <v>0.35</v>
          </cell>
          <cell r="X119">
            <v>1428.29</v>
          </cell>
          <cell r="Y119">
            <v>13615.41</v>
          </cell>
          <cell r="Z119">
            <v>0.35</v>
          </cell>
          <cell r="AA119">
            <v>1428.29</v>
          </cell>
          <cell r="AB119">
            <v>13615.41</v>
          </cell>
          <cell r="AC119">
            <v>0.35</v>
          </cell>
          <cell r="AD119">
            <v>1428.29</v>
          </cell>
          <cell r="AE119">
            <v>13615.41</v>
          </cell>
          <cell r="AF119">
            <v>0.35</v>
          </cell>
          <cell r="AG119">
            <v>1428.29</v>
          </cell>
          <cell r="AH119">
            <v>75.64</v>
          </cell>
        </row>
        <row r="120">
          <cell r="C120">
            <v>34912</v>
          </cell>
          <cell r="D120">
            <v>756.44</v>
          </cell>
          <cell r="E120">
            <v>0.15</v>
          </cell>
          <cell r="F120">
            <v>113.47</v>
          </cell>
          <cell r="G120">
            <v>1475.01</v>
          </cell>
          <cell r="H120">
            <v>0.26600000000000001</v>
          </cell>
          <cell r="I120">
            <v>284.70999999999998</v>
          </cell>
          <cell r="J120">
            <v>13615.41</v>
          </cell>
          <cell r="K120">
            <v>0.35</v>
          </cell>
          <cell r="L120">
            <v>1428.29</v>
          </cell>
          <cell r="M120">
            <v>13615.41</v>
          </cell>
          <cell r="N120">
            <v>0.35</v>
          </cell>
          <cell r="O120">
            <v>1428.29</v>
          </cell>
          <cell r="P120">
            <v>13615.41</v>
          </cell>
          <cell r="Q120">
            <v>0.35</v>
          </cell>
          <cell r="R120">
            <v>1428.29</v>
          </cell>
          <cell r="S120">
            <v>13615.41</v>
          </cell>
          <cell r="T120">
            <v>0.35</v>
          </cell>
          <cell r="U120">
            <v>1428.29</v>
          </cell>
          <cell r="V120">
            <v>13615.41</v>
          </cell>
          <cell r="W120">
            <v>0.35</v>
          </cell>
          <cell r="X120">
            <v>1428.29</v>
          </cell>
          <cell r="Y120">
            <v>13615.41</v>
          </cell>
          <cell r="Z120">
            <v>0.35</v>
          </cell>
          <cell r="AA120">
            <v>1428.29</v>
          </cell>
          <cell r="AB120">
            <v>13615.41</v>
          </cell>
          <cell r="AC120">
            <v>0.35</v>
          </cell>
          <cell r="AD120">
            <v>1428.29</v>
          </cell>
          <cell r="AE120">
            <v>13615.41</v>
          </cell>
          <cell r="AF120">
            <v>0.35</v>
          </cell>
          <cell r="AG120">
            <v>1428.29</v>
          </cell>
          <cell r="AH120">
            <v>75.64</v>
          </cell>
        </row>
        <row r="121">
          <cell r="C121">
            <v>34943</v>
          </cell>
          <cell r="D121">
            <v>756.44</v>
          </cell>
          <cell r="E121">
            <v>0.15</v>
          </cell>
          <cell r="F121">
            <v>113.47</v>
          </cell>
          <cell r="G121">
            <v>1475.01</v>
          </cell>
          <cell r="H121">
            <v>0.26600000000000001</v>
          </cell>
          <cell r="I121">
            <v>284.70999999999998</v>
          </cell>
          <cell r="J121">
            <v>13615.41</v>
          </cell>
          <cell r="K121">
            <v>0.35</v>
          </cell>
          <cell r="L121">
            <v>1428.29</v>
          </cell>
          <cell r="M121">
            <v>13615.41</v>
          </cell>
          <cell r="N121">
            <v>0.35</v>
          </cell>
          <cell r="O121">
            <v>1428.29</v>
          </cell>
          <cell r="P121">
            <v>13615.41</v>
          </cell>
          <cell r="Q121">
            <v>0.35</v>
          </cell>
          <cell r="R121">
            <v>1428.29</v>
          </cell>
          <cell r="S121">
            <v>13615.41</v>
          </cell>
          <cell r="T121">
            <v>0.35</v>
          </cell>
          <cell r="U121">
            <v>1428.29</v>
          </cell>
          <cell r="V121">
            <v>13615.41</v>
          </cell>
          <cell r="W121">
            <v>0.35</v>
          </cell>
          <cell r="X121">
            <v>1428.29</v>
          </cell>
          <cell r="Y121">
            <v>13615.41</v>
          </cell>
          <cell r="Z121">
            <v>0.35</v>
          </cell>
          <cell r="AA121">
            <v>1428.29</v>
          </cell>
          <cell r="AB121">
            <v>13615.41</v>
          </cell>
          <cell r="AC121">
            <v>0.35</v>
          </cell>
          <cell r="AD121">
            <v>1428.29</v>
          </cell>
          <cell r="AE121">
            <v>13615.41</v>
          </cell>
          <cell r="AF121">
            <v>0.35</v>
          </cell>
          <cell r="AG121">
            <v>1428.29</v>
          </cell>
          <cell r="AH121">
            <v>75.64</v>
          </cell>
        </row>
        <row r="122">
          <cell r="C122">
            <v>34973</v>
          </cell>
          <cell r="D122">
            <v>795.24</v>
          </cell>
          <cell r="E122">
            <v>0.15</v>
          </cell>
          <cell r="F122">
            <v>119.29</v>
          </cell>
          <cell r="G122">
            <v>1550.68</v>
          </cell>
          <cell r="H122">
            <v>0.26600000000000001</v>
          </cell>
          <cell r="I122">
            <v>299.32</v>
          </cell>
          <cell r="J122">
            <v>14313.88</v>
          </cell>
          <cell r="K122">
            <v>0.35</v>
          </cell>
          <cell r="L122">
            <v>1501.57</v>
          </cell>
          <cell r="M122">
            <v>14313.88</v>
          </cell>
          <cell r="N122">
            <v>0.35</v>
          </cell>
          <cell r="O122">
            <v>1501.57</v>
          </cell>
          <cell r="P122">
            <v>14313.88</v>
          </cell>
          <cell r="Q122">
            <v>0.35</v>
          </cell>
          <cell r="R122">
            <v>1501.57</v>
          </cell>
          <cell r="S122">
            <v>14313.88</v>
          </cell>
          <cell r="T122">
            <v>0.35</v>
          </cell>
          <cell r="U122">
            <v>1501.57</v>
          </cell>
          <cell r="V122">
            <v>14313.88</v>
          </cell>
          <cell r="W122">
            <v>0.35</v>
          </cell>
          <cell r="X122">
            <v>1501.57</v>
          </cell>
          <cell r="Y122">
            <v>14313.88</v>
          </cell>
          <cell r="Z122">
            <v>0.35</v>
          </cell>
          <cell r="AA122">
            <v>1501.57</v>
          </cell>
          <cell r="AB122">
            <v>14313.88</v>
          </cell>
          <cell r="AC122">
            <v>0.35</v>
          </cell>
          <cell r="AD122">
            <v>1501.57</v>
          </cell>
          <cell r="AE122">
            <v>14313.88</v>
          </cell>
          <cell r="AF122">
            <v>0.35</v>
          </cell>
          <cell r="AG122">
            <v>1501.57</v>
          </cell>
          <cell r="AH122">
            <v>79.52</v>
          </cell>
        </row>
        <row r="123">
          <cell r="C123">
            <v>35004</v>
          </cell>
          <cell r="D123">
            <v>795.24</v>
          </cell>
          <cell r="E123">
            <v>0.15</v>
          </cell>
          <cell r="F123">
            <v>119.29</v>
          </cell>
          <cell r="G123">
            <v>1550.68</v>
          </cell>
          <cell r="H123">
            <v>0.26600000000000001</v>
          </cell>
          <cell r="I123">
            <v>299.32</v>
          </cell>
          <cell r="J123">
            <v>14313.88</v>
          </cell>
          <cell r="K123">
            <v>0.35</v>
          </cell>
          <cell r="L123">
            <v>1501.57</v>
          </cell>
          <cell r="M123">
            <v>14313.88</v>
          </cell>
          <cell r="N123">
            <v>0.35</v>
          </cell>
          <cell r="O123">
            <v>1501.57</v>
          </cell>
          <cell r="P123">
            <v>14313.88</v>
          </cell>
          <cell r="Q123">
            <v>0.35</v>
          </cell>
          <cell r="R123">
            <v>1501.57</v>
          </cell>
          <cell r="S123">
            <v>14313.88</v>
          </cell>
          <cell r="T123">
            <v>0.35</v>
          </cell>
          <cell r="U123">
            <v>1501.57</v>
          </cell>
          <cell r="V123">
            <v>14313.88</v>
          </cell>
          <cell r="W123">
            <v>0.35</v>
          </cell>
          <cell r="X123">
            <v>1501.57</v>
          </cell>
          <cell r="Y123">
            <v>14313.88</v>
          </cell>
          <cell r="Z123">
            <v>0.35</v>
          </cell>
          <cell r="AA123">
            <v>1501.57</v>
          </cell>
          <cell r="AB123">
            <v>14313.88</v>
          </cell>
          <cell r="AC123">
            <v>0.35</v>
          </cell>
          <cell r="AD123">
            <v>1501.57</v>
          </cell>
          <cell r="AE123">
            <v>14313.88</v>
          </cell>
          <cell r="AF123">
            <v>0.35</v>
          </cell>
          <cell r="AG123">
            <v>1501.57</v>
          </cell>
          <cell r="AH123">
            <v>79.52</v>
          </cell>
        </row>
        <row r="124">
          <cell r="C124">
            <v>35034</v>
          </cell>
          <cell r="D124">
            <v>795.24</v>
          </cell>
          <cell r="E124">
            <v>0.15</v>
          </cell>
          <cell r="F124">
            <v>119.29</v>
          </cell>
          <cell r="G124">
            <v>1550.68</v>
          </cell>
          <cell r="H124">
            <v>0.26600000000000001</v>
          </cell>
          <cell r="I124">
            <v>299.32</v>
          </cell>
          <cell r="J124">
            <v>14313.88</v>
          </cell>
          <cell r="K124">
            <v>0.35</v>
          </cell>
          <cell r="L124">
            <v>1501.57</v>
          </cell>
          <cell r="M124">
            <v>14313.88</v>
          </cell>
          <cell r="N124">
            <v>0.35</v>
          </cell>
          <cell r="O124">
            <v>1501.57</v>
          </cell>
          <cell r="P124">
            <v>14313.88</v>
          </cell>
          <cell r="Q124">
            <v>0.35</v>
          </cell>
          <cell r="R124">
            <v>1501.57</v>
          </cell>
          <cell r="S124">
            <v>14313.88</v>
          </cell>
          <cell r="T124">
            <v>0.35</v>
          </cell>
          <cell r="U124">
            <v>1501.57</v>
          </cell>
          <cell r="V124">
            <v>14313.88</v>
          </cell>
          <cell r="W124">
            <v>0.35</v>
          </cell>
          <cell r="X124">
            <v>1501.57</v>
          </cell>
          <cell r="Y124">
            <v>14313.88</v>
          </cell>
          <cell r="Z124">
            <v>0.35</v>
          </cell>
          <cell r="AA124">
            <v>1501.57</v>
          </cell>
          <cell r="AB124">
            <v>14313.88</v>
          </cell>
          <cell r="AC124">
            <v>0.35</v>
          </cell>
          <cell r="AD124">
            <v>1501.57</v>
          </cell>
          <cell r="AE124">
            <v>14313.88</v>
          </cell>
          <cell r="AF124">
            <v>0.35</v>
          </cell>
          <cell r="AG124">
            <v>1501.57</v>
          </cell>
          <cell r="AH124">
            <v>79.52</v>
          </cell>
        </row>
        <row r="125">
          <cell r="C125">
            <v>35065</v>
          </cell>
          <cell r="D125">
            <v>900</v>
          </cell>
          <cell r="E125">
            <v>0.15</v>
          </cell>
          <cell r="F125">
            <v>135</v>
          </cell>
          <cell r="G125">
            <v>1800</v>
          </cell>
          <cell r="H125">
            <v>0.25</v>
          </cell>
          <cell r="I125">
            <v>315</v>
          </cell>
          <cell r="J125">
            <v>1800</v>
          </cell>
          <cell r="K125">
            <v>0.25</v>
          </cell>
          <cell r="L125">
            <v>315</v>
          </cell>
          <cell r="M125">
            <v>1800</v>
          </cell>
          <cell r="N125">
            <v>0.25</v>
          </cell>
          <cell r="O125">
            <v>315</v>
          </cell>
          <cell r="P125">
            <v>1800</v>
          </cell>
          <cell r="Q125">
            <v>0.25</v>
          </cell>
          <cell r="R125">
            <v>315</v>
          </cell>
          <cell r="S125">
            <v>1800</v>
          </cell>
          <cell r="T125">
            <v>0.25</v>
          </cell>
          <cell r="U125">
            <v>315</v>
          </cell>
          <cell r="V125">
            <v>1800</v>
          </cell>
          <cell r="W125">
            <v>0.25</v>
          </cell>
          <cell r="X125">
            <v>315</v>
          </cell>
          <cell r="Y125">
            <v>1800</v>
          </cell>
          <cell r="Z125">
            <v>0.25</v>
          </cell>
          <cell r="AA125">
            <v>315</v>
          </cell>
          <cell r="AB125">
            <v>1800</v>
          </cell>
          <cell r="AC125">
            <v>0.25</v>
          </cell>
          <cell r="AD125">
            <v>315</v>
          </cell>
          <cell r="AE125">
            <v>1800</v>
          </cell>
          <cell r="AF125">
            <v>0.25</v>
          </cell>
          <cell r="AG125">
            <v>315</v>
          </cell>
          <cell r="AH125">
            <v>90</v>
          </cell>
        </row>
        <row r="126">
          <cell r="C126">
            <v>35096</v>
          </cell>
          <cell r="D126">
            <v>900</v>
          </cell>
          <cell r="E126">
            <v>0.15</v>
          </cell>
          <cell r="F126">
            <v>135</v>
          </cell>
          <cell r="G126">
            <v>1800</v>
          </cell>
          <cell r="H126">
            <v>0.25</v>
          </cell>
          <cell r="I126">
            <v>315</v>
          </cell>
          <cell r="J126">
            <v>1800</v>
          </cell>
          <cell r="K126">
            <v>0.25</v>
          </cell>
          <cell r="L126">
            <v>315</v>
          </cell>
          <cell r="M126">
            <v>1800</v>
          </cell>
          <cell r="N126">
            <v>0.25</v>
          </cell>
          <cell r="O126">
            <v>315</v>
          </cell>
          <cell r="P126">
            <v>1800</v>
          </cell>
          <cell r="Q126">
            <v>0.25</v>
          </cell>
          <cell r="R126">
            <v>315</v>
          </cell>
          <cell r="S126">
            <v>1800</v>
          </cell>
          <cell r="T126">
            <v>0.25</v>
          </cell>
          <cell r="U126">
            <v>315</v>
          </cell>
          <cell r="V126">
            <v>1800</v>
          </cell>
          <cell r="W126">
            <v>0.25</v>
          </cell>
          <cell r="X126">
            <v>315</v>
          </cell>
          <cell r="Y126">
            <v>1800</v>
          </cell>
          <cell r="Z126">
            <v>0.25</v>
          </cell>
          <cell r="AA126">
            <v>315</v>
          </cell>
          <cell r="AB126">
            <v>1800</v>
          </cell>
          <cell r="AC126">
            <v>0.25</v>
          </cell>
          <cell r="AD126">
            <v>315</v>
          </cell>
          <cell r="AE126">
            <v>1800</v>
          </cell>
          <cell r="AF126">
            <v>0.25</v>
          </cell>
          <cell r="AG126">
            <v>315</v>
          </cell>
          <cell r="AH126">
            <v>90</v>
          </cell>
        </row>
        <row r="127">
          <cell r="C127">
            <v>35125</v>
          </cell>
          <cell r="D127">
            <v>900</v>
          </cell>
          <cell r="E127">
            <v>0.15</v>
          </cell>
          <cell r="F127">
            <v>135</v>
          </cell>
          <cell r="G127">
            <v>1800</v>
          </cell>
          <cell r="H127">
            <v>0.25</v>
          </cell>
          <cell r="I127">
            <v>315</v>
          </cell>
          <cell r="J127">
            <v>1800</v>
          </cell>
          <cell r="K127">
            <v>0.25</v>
          </cell>
          <cell r="L127">
            <v>315</v>
          </cell>
          <cell r="M127">
            <v>1800</v>
          </cell>
          <cell r="N127">
            <v>0.25</v>
          </cell>
          <cell r="O127">
            <v>315</v>
          </cell>
          <cell r="P127">
            <v>1800</v>
          </cell>
          <cell r="Q127">
            <v>0.25</v>
          </cell>
          <cell r="R127">
            <v>315</v>
          </cell>
          <cell r="S127">
            <v>1800</v>
          </cell>
          <cell r="T127">
            <v>0.25</v>
          </cell>
          <cell r="U127">
            <v>315</v>
          </cell>
          <cell r="V127">
            <v>1800</v>
          </cell>
          <cell r="W127">
            <v>0.25</v>
          </cell>
          <cell r="X127">
            <v>315</v>
          </cell>
          <cell r="Y127">
            <v>1800</v>
          </cell>
          <cell r="Z127">
            <v>0.25</v>
          </cell>
          <cell r="AA127">
            <v>315</v>
          </cell>
          <cell r="AB127">
            <v>1800</v>
          </cell>
          <cell r="AC127">
            <v>0.25</v>
          </cell>
          <cell r="AD127">
            <v>315</v>
          </cell>
          <cell r="AE127">
            <v>1800</v>
          </cell>
          <cell r="AF127">
            <v>0.25</v>
          </cell>
          <cell r="AG127">
            <v>315</v>
          </cell>
          <cell r="AH127">
            <v>90</v>
          </cell>
        </row>
        <row r="128">
          <cell r="C128">
            <v>35156</v>
          </cell>
          <cell r="D128">
            <v>900</v>
          </cell>
          <cell r="E128">
            <v>0.15</v>
          </cell>
          <cell r="F128">
            <v>135</v>
          </cell>
          <cell r="G128">
            <v>1800</v>
          </cell>
          <cell r="H128">
            <v>0.25</v>
          </cell>
          <cell r="I128">
            <v>315</v>
          </cell>
          <cell r="J128">
            <v>1800</v>
          </cell>
          <cell r="K128">
            <v>0.25</v>
          </cell>
          <cell r="L128">
            <v>315</v>
          </cell>
          <cell r="M128">
            <v>1800</v>
          </cell>
          <cell r="N128">
            <v>0.25</v>
          </cell>
          <cell r="O128">
            <v>315</v>
          </cell>
          <cell r="P128">
            <v>1800</v>
          </cell>
          <cell r="Q128">
            <v>0.25</v>
          </cell>
          <cell r="R128">
            <v>315</v>
          </cell>
          <cell r="S128">
            <v>1800</v>
          </cell>
          <cell r="T128">
            <v>0.25</v>
          </cell>
          <cell r="U128">
            <v>315</v>
          </cell>
          <cell r="V128">
            <v>1800</v>
          </cell>
          <cell r="W128">
            <v>0.25</v>
          </cell>
          <cell r="X128">
            <v>315</v>
          </cell>
          <cell r="Y128">
            <v>1800</v>
          </cell>
          <cell r="Z128">
            <v>0.25</v>
          </cell>
          <cell r="AA128">
            <v>315</v>
          </cell>
          <cell r="AB128">
            <v>1800</v>
          </cell>
          <cell r="AC128">
            <v>0.25</v>
          </cell>
          <cell r="AD128">
            <v>315</v>
          </cell>
          <cell r="AE128">
            <v>1800</v>
          </cell>
          <cell r="AF128">
            <v>0.25</v>
          </cell>
          <cell r="AG128">
            <v>315</v>
          </cell>
          <cell r="AH128">
            <v>90</v>
          </cell>
        </row>
        <row r="129">
          <cell r="C129">
            <v>35186</v>
          </cell>
          <cell r="D129">
            <v>900</v>
          </cell>
          <cell r="E129">
            <v>0.15</v>
          </cell>
          <cell r="F129">
            <v>135</v>
          </cell>
          <cell r="G129">
            <v>1800</v>
          </cell>
          <cell r="H129">
            <v>0.25</v>
          </cell>
          <cell r="I129">
            <v>315</v>
          </cell>
          <cell r="J129">
            <v>1800</v>
          </cell>
          <cell r="K129">
            <v>0.25</v>
          </cell>
          <cell r="L129">
            <v>315</v>
          </cell>
          <cell r="M129">
            <v>1800</v>
          </cell>
          <cell r="N129">
            <v>0.25</v>
          </cell>
          <cell r="O129">
            <v>315</v>
          </cell>
          <cell r="P129">
            <v>1800</v>
          </cell>
          <cell r="Q129">
            <v>0.25</v>
          </cell>
          <cell r="R129">
            <v>315</v>
          </cell>
          <cell r="S129">
            <v>1800</v>
          </cell>
          <cell r="T129">
            <v>0.25</v>
          </cell>
          <cell r="U129">
            <v>315</v>
          </cell>
          <cell r="V129">
            <v>1800</v>
          </cell>
          <cell r="W129">
            <v>0.25</v>
          </cell>
          <cell r="X129">
            <v>315</v>
          </cell>
          <cell r="Y129">
            <v>1800</v>
          </cell>
          <cell r="Z129">
            <v>0.25</v>
          </cell>
          <cell r="AA129">
            <v>315</v>
          </cell>
          <cell r="AB129">
            <v>1800</v>
          </cell>
          <cell r="AC129">
            <v>0.25</v>
          </cell>
          <cell r="AD129">
            <v>315</v>
          </cell>
          <cell r="AE129">
            <v>1800</v>
          </cell>
          <cell r="AF129">
            <v>0.25</v>
          </cell>
          <cell r="AG129">
            <v>315</v>
          </cell>
          <cell r="AH129">
            <v>90</v>
          </cell>
        </row>
        <row r="130">
          <cell r="C130">
            <v>35217</v>
          </cell>
          <cell r="D130">
            <v>900</v>
          </cell>
          <cell r="E130">
            <v>0.15</v>
          </cell>
          <cell r="F130">
            <v>135</v>
          </cell>
          <cell r="G130">
            <v>1800</v>
          </cell>
          <cell r="H130">
            <v>0.25</v>
          </cell>
          <cell r="I130">
            <v>315</v>
          </cell>
          <cell r="J130">
            <v>1800</v>
          </cell>
          <cell r="K130">
            <v>0.25</v>
          </cell>
          <cell r="L130">
            <v>315</v>
          </cell>
          <cell r="M130">
            <v>1800</v>
          </cell>
          <cell r="N130">
            <v>0.25</v>
          </cell>
          <cell r="O130">
            <v>315</v>
          </cell>
          <cell r="P130">
            <v>1800</v>
          </cell>
          <cell r="Q130">
            <v>0.25</v>
          </cell>
          <cell r="R130">
            <v>315</v>
          </cell>
          <cell r="S130">
            <v>1800</v>
          </cell>
          <cell r="T130">
            <v>0.25</v>
          </cell>
          <cell r="U130">
            <v>315</v>
          </cell>
          <cell r="V130">
            <v>1800</v>
          </cell>
          <cell r="W130">
            <v>0.25</v>
          </cell>
          <cell r="X130">
            <v>315</v>
          </cell>
          <cell r="Y130">
            <v>1800</v>
          </cell>
          <cell r="Z130">
            <v>0.25</v>
          </cell>
          <cell r="AA130">
            <v>315</v>
          </cell>
          <cell r="AB130">
            <v>1800</v>
          </cell>
          <cell r="AC130">
            <v>0.25</v>
          </cell>
          <cell r="AD130">
            <v>315</v>
          </cell>
          <cell r="AE130">
            <v>1800</v>
          </cell>
          <cell r="AF130">
            <v>0.25</v>
          </cell>
          <cell r="AG130">
            <v>315</v>
          </cell>
          <cell r="AH130">
            <v>90</v>
          </cell>
        </row>
        <row r="131">
          <cell r="C131">
            <v>35247</v>
          </cell>
          <cell r="D131">
            <v>900</v>
          </cell>
          <cell r="E131">
            <v>0.15</v>
          </cell>
          <cell r="F131">
            <v>135</v>
          </cell>
          <cell r="G131">
            <v>1800</v>
          </cell>
          <cell r="H131">
            <v>0.25</v>
          </cell>
          <cell r="I131">
            <v>315</v>
          </cell>
          <cell r="J131">
            <v>1800</v>
          </cell>
          <cell r="K131">
            <v>0.25</v>
          </cell>
          <cell r="L131">
            <v>315</v>
          </cell>
          <cell r="M131">
            <v>1800</v>
          </cell>
          <cell r="N131">
            <v>0.25</v>
          </cell>
          <cell r="O131">
            <v>315</v>
          </cell>
          <cell r="P131">
            <v>1800</v>
          </cell>
          <cell r="Q131">
            <v>0.25</v>
          </cell>
          <cell r="R131">
            <v>315</v>
          </cell>
          <cell r="S131">
            <v>1800</v>
          </cell>
          <cell r="T131">
            <v>0.25</v>
          </cell>
          <cell r="U131">
            <v>315</v>
          </cell>
          <cell r="V131">
            <v>1800</v>
          </cell>
          <cell r="W131">
            <v>0.25</v>
          </cell>
          <cell r="X131">
            <v>315</v>
          </cell>
          <cell r="Y131">
            <v>1800</v>
          </cell>
          <cell r="Z131">
            <v>0.25</v>
          </cell>
          <cell r="AA131">
            <v>315</v>
          </cell>
          <cell r="AB131">
            <v>1800</v>
          </cell>
          <cell r="AC131">
            <v>0.25</v>
          </cell>
          <cell r="AD131">
            <v>315</v>
          </cell>
          <cell r="AE131">
            <v>1800</v>
          </cell>
          <cell r="AF131">
            <v>0.25</v>
          </cell>
          <cell r="AG131">
            <v>315</v>
          </cell>
          <cell r="AH131">
            <v>90</v>
          </cell>
        </row>
        <row r="132">
          <cell r="C132">
            <v>35278</v>
          </cell>
          <cell r="D132">
            <v>900</v>
          </cell>
          <cell r="E132">
            <v>0.15</v>
          </cell>
          <cell r="F132">
            <v>135</v>
          </cell>
          <cell r="G132">
            <v>1800</v>
          </cell>
          <cell r="H132">
            <v>0.25</v>
          </cell>
          <cell r="I132">
            <v>315</v>
          </cell>
          <cell r="J132">
            <v>1800</v>
          </cell>
          <cell r="K132">
            <v>0.25</v>
          </cell>
          <cell r="L132">
            <v>315</v>
          </cell>
          <cell r="M132">
            <v>1800</v>
          </cell>
          <cell r="N132">
            <v>0.25</v>
          </cell>
          <cell r="O132">
            <v>315</v>
          </cell>
          <cell r="P132">
            <v>1800</v>
          </cell>
          <cell r="Q132">
            <v>0.25</v>
          </cell>
          <cell r="R132">
            <v>315</v>
          </cell>
          <cell r="S132">
            <v>1800</v>
          </cell>
          <cell r="T132">
            <v>0.25</v>
          </cell>
          <cell r="U132">
            <v>315</v>
          </cell>
          <cell r="V132">
            <v>1800</v>
          </cell>
          <cell r="W132">
            <v>0.25</v>
          </cell>
          <cell r="X132">
            <v>315</v>
          </cell>
          <cell r="Y132">
            <v>1800</v>
          </cell>
          <cell r="Z132">
            <v>0.25</v>
          </cell>
          <cell r="AA132">
            <v>315</v>
          </cell>
          <cell r="AB132">
            <v>1800</v>
          </cell>
          <cell r="AC132">
            <v>0.25</v>
          </cell>
          <cell r="AD132">
            <v>315</v>
          </cell>
          <cell r="AE132">
            <v>1800</v>
          </cell>
          <cell r="AF132">
            <v>0.25</v>
          </cell>
          <cell r="AG132">
            <v>315</v>
          </cell>
          <cell r="AH132">
            <v>90</v>
          </cell>
        </row>
        <row r="133">
          <cell r="C133">
            <v>35309</v>
          </cell>
          <cell r="D133">
            <v>900</v>
          </cell>
          <cell r="E133">
            <v>0.15</v>
          </cell>
          <cell r="F133">
            <v>135</v>
          </cell>
          <cell r="G133">
            <v>1800</v>
          </cell>
          <cell r="H133">
            <v>0.25</v>
          </cell>
          <cell r="I133">
            <v>315</v>
          </cell>
          <cell r="J133">
            <v>1800</v>
          </cell>
          <cell r="K133">
            <v>0.25</v>
          </cell>
          <cell r="L133">
            <v>315</v>
          </cell>
          <cell r="M133">
            <v>1800</v>
          </cell>
          <cell r="N133">
            <v>0.25</v>
          </cell>
          <cell r="O133">
            <v>315</v>
          </cell>
          <cell r="P133">
            <v>1800</v>
          </cell>
          <cell r="Q133">
            <v>0.25</v>
          </cell>
          <cell r="R133">
            <v>315</v>
          </cell>
          <cell r="S133">
            <v>1800</v>
          </cell>
          <cell r="T133">
            <v>0.25</v>
          </cell>
          <cell r="U133">
            <v>315</v>
          </cell>
          <cell r="V133">
            <v>1800</v>
          </cell>
          <cell r="W133">
            <v>0.25</v>
          </cell>
          <cell r="X133">
            <v>315</v>
          </cell>
          <cell r="Y133">
            <v>1800</v>
          </cell>
          <cell r="Z133">
            <v>0.25</v>
          </cell>
          <cell r="AA133">
            <v>315</v>
          </cell>
          <cell r="AB133">
            <v>1800</v>
          </cell>
          <cell r="AC133">
            <v>0.25</v>
          </cell>
          <cell r="AD133">
            <v>315</v>
          </cell>
          <cell r="AE133">
            <v>1800</v>
          </cell>
          <cell r="AF133">
            <v>0.25</v>
          </cell>
          <cell r="AG133">
            <v>315</v>
          </cell>
          <cell r="AH133">
            <v>90</v>
          </cell>
        </row>
        <row r="134">
          <cell r="C134">
            <v>35339</v>
          </cell>
          <cell r="D134">
            <v>900</v>
          </cell>
          <cell r="E134">
            <v>0.15</v>
          </cell>
          <cell r="F134">
            <v>135</v>
          </cell>
          <cell r="G134">
            <v>1800</v>
          </cell>
          <cell r="H134">
            <v>0.25</v>
          </cell>
          <cell r="I134">
            <v>315</v>
          </cell>
          <cell r="J134">
            <v>1800</v>
          </cell>
          <cell r="K134">
            <v>0.25</v>
          </cell>
          <cell r="L134">
            <v>315</v>
          </cell>
          <cell r="M134">
            <v>1800</v>
          </cell>
          <cell r="N134">
            <v>0.25</v>
          </cell>
          <cell r="O134">
            <v>315</v>
          </cell>
          <cell r="P134">
            <v>1800</v>
          </cell>
          <cell r="Q134">
            <v>0.25</v>
          </cell>
          <cell r="R134">
            <v>315</v>
          </cell>
          <cell r="S134">
            <v>1800</v>
          </cell>
          <cell r="T134">
            <v>0.25</v>
          </cell>
          <cell r="U134">
            <v>315</v>
          </cell>
          <cell r="V134">
            <v>1800</v>
          </cell>
          <cell r="W134">
            <v>0.25</v>
          </cell>
          <cell r="X134">
            <v>315</v>
          </cell>
          <cell r="Y134">
            <v>1800</v>
          </cell>
          <cell r="Z134">
            <v>0.25</v>
          </cell>
          <cell r="AA134">
            <v>315</v>
          </cell>
          <cell r="AB134">
            <v>1800</v>
          </cell>
          <cell r="AC134">
            <v>0.25</v>
          </cell>
          <cell r="AD134">
            <v>315</v>
          </cell>
          <cell r="AE134">
            <v>1800</v>
          </cell>
          <cell r="AF134">
            <v>0.25</v>
          </cell>
          <cell r="AG134">
            <v>315</v>
          </cell>
          <cell r="AH134">
            <v>90</v>
          </cell>
        </row>
        <row r="135">
          <cell r="C135">
            <v>35370</v>
          </cell>
          <cell r="D135">
            <v>900</v>
          </cell>
          <cell r="E135">
            <v>0.15</v>
          </cell>
          <cell r="F135">
            <v>135</v>
          </cell>
          <cell r="G135">
            <v>1800</v>
          </cell>
          <cell r="H135">
            <v>0.25</v>
          </cell>
          <cell r="I135">
            <v>315</v>
          </cell>
          <cell r="J135">
            <v>1800</v>
          </cell>
          <cell r="K135">
            <v>0.25</v>
          </cell>
          <cell r="L135">
            <v>315</v>
          </cell>
          <cell r="M135">
            <v>1800</v>
          </cell>
          <cell r="N135">
            <v>0.25</v>
          </cell>
          <cell r="O135">
            <v>315</v>
          </cell>
          <cell r="P135">
            <v>1800</v>
          </cell>
          <cell r="Q135">
            <v>0.25</v>
          </cell>
          <cell r="R135">
            <v>315</v>
          </cell>
          <cell r="S135">
            <v>1800</v>
          </cell>
          <cell r="T135">
            <v>0.25</v>
          </cell>
          <cell r="U135">
            <v>315</v>
          </cell>
          <cell r="V135">
            <v>1800</v>
          </cell>
          <cell r="W135">
            <v>0.25</v>
          </cell>
          <cell r="X135">
            <v>315</v>
          </cell>
          <cell r="Y135">
            <v>1800</v>
          </cell>
          <cell r="Z135">
            <v>0.25</v>
          </cell>
          <cell r="AA135">
            <v>315</v>
          </cell>
          <cell r="AB135">
            <v>1800</v>
          </cell>
          <cell r="AC135">
            <v>0.25</v>
          </cell>
          <cell r="AD135">
            <v>315</v>
          </cell>
          <cell r="AE135">
            <v>1800</v>
          </cell>
          <cell r="AF135">
            <v>0.25</v>
          </cell>
          <cell r="AG135">
            <v>315</v>
          </cell>
          <cell r="AH135">
            <v>90</v>
          </cell>
        </row>
        <row r="136">
          <cell r="C136">
            <v>35400</v>
          </cell>
          <cell r="D136">
            <v>900</v>
          </cell>
          <cell r="E136">
            <v>0.15</v>
          </cell>
          <cell r="F136">
            <v>135</v>
          </cell>
          <cell r="G136">
            <v>1800</v>
          </cell>
          <cell r="H136">
            <v>0.25</v>
          </cell>
          <cell r="I136">
            <v>315</v>
          </cell>
          <cell r="J136">
            <v>1800</v>
          </cell>
          <cell r="K136">
            <v>0.25</v>
          </cell>
          <cell r="L136">
            <v>315</v>
          </cell>
          <cell r="M136">
            <v>1800</v>
          </cell>
          <cell r="N136">
            <v>0.25</v>
          </cell>
          <cell r="O136">
            <v>315</v>
          </cell>
          <cell r="P136">
            <v>1800</v>
          </cell>
          <cell r="Q136">
            <v>0.25</v>
          </cell>
          <cell r="R136">
            <v>315</v>
          </cell>
          <cell r="S136">
            <v>1800</v>
          </cell>
          <cell r="T136">
            <v>0.25</v>
          </cell>
          <cell r="U136">
            <v>315</v>
          </cell>
          <cell r="V136">
            <v>1800</v>
          </cell>
          <cell r="W136">
            <v>0.25</v>
          </cell>
          <cell r="X136">
            <v>315</v>
          </cell>
          <cell r="Y136">
            <v>1800</v>
          </cell>
          <cell r="Z136">
            <v>0.25</v>
          </cell>
          <cell r="AA136">
            <v>315</v>
          </cell>
          <cell r="AB136">
            <v>1800</v>
          </cell>
          <cell r="AC136">
            <v>0.25</v>
          </cell>
          <cell r="AD136">
            <v>315</v>
          </cell>
          <cell r="AE136">
            <v>1800</v>
          </cell>
          <cell r="AF136">
            <v>0.25</v>
          </cell>
          <cell r="AG136">
            <v>315</v>
          </cell>
          <cell r="AH136">
            <v>90</v>
          </cell>
        </row>
        <row r="137">
          <cell r="C137">
            <v>35431</v>
          </cell>
          <cell r="D137">
            <v>900</v>
          </cell>
          <cell r="E137">
            <v>0.15</v>
          </cell>
          <cell r="F137">
            <v>135</v>
          </cell>
          <cell r="G137">
            <v>1800</v>
          </cell>
          <cell r="H137">
            <v>0.25</v>
          </cell>
          <cell r="I137">
            <v>315</v>
          </cell>
          <cell r="J137">
            <v>1800</v>
          </cell>
          <cell r="K137">
            <v>0.25</v>
          </cell>
          <cell r="L137">
            <v>315</v>
          </cell>
          <cell r="M137">
            <v>1800</v>
          </cell>
          <cell r="N137">
            <v>0.25</v>
          </cell>
          <cell r="O137">
            <v>315</v>
          </cell>
          <cell r="P137">
            <v>1800</v>
          </cell>
          <cell r="Q137">
            <v>0.25</v>
          </cell>
          <cell r="R137">
            <v>315</v>
          </cell>
          <cell r="S137">
            <v>1800</v>
          </cell>
          <cell r="T137">
            <v>0.25</v>
          </cell>
          <cell r="U137">
            <v>315</v>
          </cell>
          <cell r="V137">
            <v>1800</v>
          </cell>
          <cell r="W137">
            <v>0.25</v>
          </cell>
          <cell r="X137">
            <v>315</v>
          </cell>
          <cell r="Y137">
            <v>1800</v>
          </cell>
          <cell r="Z137">
            <v>0.25</v>
          </cell>
          <cell r="AA137">
            <v>315</v>
          </cell>
          <cell r="AB137">
            <v>1800</v>
          </cell>
          <cell r="AC137">
            <v>0.25</v>
          </cell>
          <cell r="AD137">
            <v>315</v>
          </cell>
          <cell r="AE137">
            <v>1800</v>
          </cell>
          <cell r="AF137">
            <v>0.25</v>
          </cell>
          <cell r="AG137">
            <v>315</v>
          </cell>
          <cell r="AH137">
            <v>90</v>
          </cell>
        </row>
        <row r="138">
          <cell r="C138">
            <v>35462</v>
          </cell>
          <cell r="D138">
            <v>900</v>
          </cell>
          <cell r="E138">
            <v>0.15</v>
          </cell>
          <cell r="F138">
            <v>135</v>
          </cell>
          <cell r="G138">
            <v>1800</v>
          </cell>
          <cell r="H138">
            <v>0.25</v>
          </cell>
          <cell r="I138">
            <v>315</v>
          </cell>
          <cell r="J138">
            <v>1800</v>
          </cell>
          <cell r="K138">
            <v>0.25</v>
          </cell>
          <cell r="L138">
            <v>315</v>
          </cell>
          <cell r="M138">
            <v>1800</v>
          </cell>
          <cell r="N138">
            <v>0.25</v>
          </cell>
          <cell r="O138">
            <v>315</v>
          </cell>
          <cell r="P138">
            <v>1800</v>
          </cell>
          <cell r="Q138">
            <v>0.25</v>
          </cell>
          <cell r="R138">
            <v>315</v>
          </cell>
          <cell r="S138">
            <v>1800</v>
          </cell>
          <cell r="T138">
            <v>0.25</v>
          </cell>
          <cell r="U138">
            <v>315</v>
          </cell>
          <cell r="V138">
            <v>1800</v>
          </cell>
          <cell r="W138">
            <v>0.25</v>
          </cell>
          <cell r="X138">
            <v>315</v>
          </cell>
          <cell r="Y138">
            <v>1800</v>
          </cell>
          <cell r="Z138">
            <v>0.25</v>
          </cell>
          <cell r="AA138">
            <v>315</v>
          </cell>
          <cell r="AB138">
            <v>1800</v>
          </cell>
          <cell r="AC138">
            <v>0.25</v>
          </cell>
          <cell r="AD138">
            <v>315</v>
          </cell>
          <cell r="AE138">
            <v>1800</v>
          </cell>
          <cell r="AF138">
            <v>0.25</v>
          </cell>
          <cell r="AG138">
            <v>315</v>
          </cell>
          <cell r="AH138">
            <v>90</v>
          </cell>
        </row>
        <row r="139">
          <cell r="C139">
            <v>35490</v>
          </cell>
          <cell r="D139">
            <v>900</v>
          </cell>
          <cell r="E139">
            <v>0.15</v>
          </cell>
          <cell r="F139">
            <v>135</v>
          </cell>
          <cell r="G139">
            <v>1800</v>
          </cell>
          <cell r="H139">
            <v>0.25</v>
          </cell>
          <cell r="I139">
            <v>315</v>
          </cell>
          <cell r="J139">
            <v>1800</v>
          </cell>
          <cell r="K139">
            <v>0.25</v>
          </cell>
          <cell r="L139">
            <v>315</v>
          </cell>
          <cell r="M139">
            <v>1800</v>
          </cell>
          <cell r="N139">
            <v>0.25</v>
          </cell>
          <cell r="O139">
            <v>315</v>
          </cell>
          <cell r="P139">
            <v>1800</v>
          </cell>
          <cell r="Q139">
            <v>0.25</v>
          </cell>
          <cell r="R139">
            <v>315</v>
          </cell>
          <cell r="S139">
            <v>1800</v>
          </cell>
          <cell r="T139">
            <v>0.25</v>
          </cell>
          <cell r="U139">
            <v>315</v>
          </cell>
          <cell r="V139">
            <v>1800</v>
          </cell>
          <cell r="W139">
            <v>0.25</v>
          </cell>
          <cell r="X139">
            <v>315</v>
          </cell>
          <cell r="Y139">
            <v>1800</v>
          </cell>
          <cell r="Z139">
            <v>0.25</v>
          </cell>
          <cell r="AA139">
            <v>315</v>
          </cell>
          <cell r="AB139">
            <v>1800</v>
          </cell>
          <cell r="AC139">
            <v>0.25</v>
          </cell>
          <cell r="AD139">
            <v>315</v>
          </cell>
          <cell r="AE139">
            <v>1800</v>
          </cell>
          <cell r="AF139">
            <v>0.25</v>
          </cell>
          <cell r="AG139">
            <v>315</v>
          </cell>
          <cell r="AH139">
            <v>90</v>
          </cell>
        </row>
        <row r="140">
          <cell r="C140">
            <v>35521</v>
          </cell>
          <cell r="D140">
            <v>900</v>
          </cell>
          <cell r="E140">
            <v>0.15</v>
          </cell>
          <cell r="F140">
            <v>135</v>
          </cell>
          <cell r="G140">
            <v>1800</v>
          </cell>
          <cell r="H140">
            <v>0.25</v>
          </cell>
          <cell r="I140">
            <v>315</v>
          </cell>
          <cell r="J140">
            <v>1800</v>
          </cell>
          <cell r="K140">
            <v>0.25</v>
          </cell>
          <cell r="L140">
            <v>315</v>
          </cell>
          <cell r="M140">
            <v>1800</v>
          </cell>
          <cell r="N140">
            <v>0.25</v>
          </cell>
          <cell r="O140">
            <v>315</v>
          </cell>
          <cell r="P140">
            <v>1800</v>
          </cell>
          <cell r="Q140">
            <v>0.25</v>
          </cell>
          <cell r="R140">
            <v>315</v>
          </cell>
          <cell r="S140">
            <v>1800</v>
          </cell>
          <cell r="T140">
            <v>0.25</v>
          </cell>
          <cell r="U140">
            <v>315</v>
          </cell>
          <cell r="V140">
            <v>1800</v>
          </cell>
          <cell r="W140">
            <v>0.25</v>
          </cell>
          <cell r="X140">
            <v>315</v>
          </cell>
          <cell r="Y140">
            <v>1800</v>
          </cell>
          <cell r="Z140">
            <v>0.25</v>
          </cell>
          <cell r="AA140">
            <v>315</v>
          </cell>
          <cell r="AB140">
            <v>1800</v>
          </cell>
          <cell r="AC140">
            <v>0.25</v>
          </cell>
          <cell r="AD140">
            <v>315</v>
          </cell>
          <cell r="AE140">
            <v>1800</v>
          </cell>
          <cell r="AF140">
            <v>0.25</v>
          </cell>
          <cell r="AG140">
            <v>315</v>
          </cell>
          <cell r="AH140">
            <v>90</v>
          </cell>
        </row>
        <row r="141">
          <cell r="C141">
            <v>35551</v>
          </cell>
          <cell r="D141">
            <v>900</v>
          </cell>
          <cell r="E141">
            <v>0.15</v>
          </cell>
          <cell r="F141">
            <v>135</v>
          </cell>
          <cell r="G141">
            <v>1800</v>
          </cell>
          <cell r="H141">
            <v>0.25</v>
          </cell>
          <cell r="I141">
            <v>315</v>
          </cell>
          <cell r="J141">
            <v>1800</v>
          </cell>
          <cell r="K141">
            <v>0.25</v>
          </cell>
          <cell r="L141">
            <v>315</v>
          </cell>
          <cell r="M141">
            <v>1800</v>
          </cell>
          <cell r="N141">
            <v>0.25</v>
          </cell>
          <cell r="O141">
            <v>315</v>
          </cell>
          <cell r="P141">
            <v>1800</v>
          </cell>
          <cell r="Q141">
            <v>0.25</v>
          </cell>
          <cell r="R141">
            <v>315</v>
          </cell>
          <cell r="S141">
            <v>1800</v>
          </cell>
          <cell r="T141">
            <v>0.25</v>
          </cell>
          <cell r="U141">
            <v>315</v>
          </cell>
          <cell r="V141">
            <v>1800</v>
          </cell>
          <cell r="W141">
            <v>0.25</v>
          </cell>
          <cell r="X141">
            <v>315</v>
          </cell>
          <cell r="Y141">
            <v>1800</v>
          </cell>
          <cell r="Z141">
            <v>0.25</v>
          </cell>
          <cell r="AA141">
            <v>315</v>
          </cell>
          <cell r="AB141">
            <v>1800</v>
          </cell>
          <cell r="AC141">
            <v>0.25</v>
          </cell>
          <cell r="AD141">
            <v>315</v>
          </cell>
          <cell r="AE141">
            <v>1800</v>
          </cell>
          <cell r="AF141">
            <v>0.25</v>
          </cell>
          <cell r="AG141">
            <v>315</v>
          </cell>
          <cell r="AH141">
            <v>90</v>
          </cell>
        </row>
        <row r="142">
          <cell r="C142">
            <v>35582</v>
          </cell>
          <cell r="D142">
            <v>900</v>
          </cell>
          <cell r="E142">
            <v>0.15</v>
          </cell>
          <cell r="F142">
            <v>135</v>
          </cell>
          <cell r="G142">
            <v>1800</v>
          </cell>
          <cell r="H142">
            <v>0.25</v>
          </cell>
          <cell r="I142">
            <v>315</v>
          </cell>
          <cell r="J142">
            <v>1800</v>
          </cell>
          <cell r="K142">
            <v>0.25</v>
          </cell>
          <cell r="L142">
            <v>315</v>
          </cell>
          <cell r="M142">
            <v>1800</v>
          </cell>
          <cell r="N142">
            <v>0.25</v>
          </cell>
          <cell r="O142">
            <v>315</v>
          </cell>
          <cell r="P142">
            <v>1800</v>
          </cell>
          <cell r="Q142">
            <v>0.25</v>
          </cell>
          <cell r="R142">
            <v>315</v>
          </cell>
          <cell r="S142">
            <v>1800</v>
          </cell>
          <cell r="T142">
            <v>0.25</v>
          </cell>
          <cell r="U142">
            <v>315</v>
          </cell>
          <cell r="V142">
            <v>1800</v>
          </cell>
          <cell r="W142">
            <v>0.25</v>
          </cell>
          <cell r="X142">
            <v>315</v>
          </cell>
          <cell r="Y142">
            <v>1800</v>
          </cell>
          <cell r="Z142">
            <v>0.25</v>
          </cell>
          <cell r="AA142">
            <v>315</v>
          </cell>
          <cell r="AB142">
            <v>1800</v>
          </cell>
          <cell r="AC142">
            <v>0.25</v>
          </cell>
          <cell r="AD142">
            <v>315</v>
          </cell>
          <cell r="AE142">
            <v>1800</v>
          </cell>
          <cell r="AF142">
            <v>0.25</v>
          </cell>
          <cell r="AG142">
            <v>315</v>
          </cell>
          <cell r="AH142">
            <v>90</v>
          </cell>
        </row>
        <row r="143">
          <cell r="C143">
            <v>35612</v>
          </cell>
          <cell r="D143">
            <v>900</v>
          </cell>
          <cell r="E143">
            <v>0.15</v>
          </cell>
          <cell r="F143">
            <v>135</v>
          </cell>
          <cell r="G143">
            <v>1800</v>
          </cell>
          <cell r="H143">
            <v>0.25</v>
          </cell>
          <cell r="I143">
            <v>315</v>
          </cell>
          <cell r="J143">
            <v>1800</v>
          </cell>
          <cell r="K143">
            <v>0.25</v>
          </cell>
          <cell r="L143">
            <v>315</v>
          </cell>
          <cell r="M143">
            <v>1800</v>
          </cell>
          <cell r="N143">
            <v>0.25</v>
          </cell>
          <cell r="O143">
            <v>315</v>
          </cell>
          <cell r="P143">
            <v>1800</v>
          </cell>
          <cell r="Q143">
            <v>0.25</v>
          </cell>
          <cell r="R143">
            <v>315</v>
          </cell>
          <cell r="S143">
            <v>1800</v>
          </cell>
          <cell r="T143">
            <v>0.25</v>
          </cell>
          <cell r="U143">
            <v>315</v>
          </cell>
          <cell r="V143">
            <v>1800</v>
          </cell>
          <cell r="W143">
            <v>0.25</v>
          </cell>
          <cell r="X143">
            <v>315</v>
          </cell>
          <cell r="Y143">
            <v>1800</v>
          </cell>
          <cell r="Z143">
            <v>0.25</v>
          </cell>
          <cell r="AA143">
            <v>315</v>
          </cell>
          <cell r="AB143">
            <v>1800</v>
          </cell>
          <cell r="AC143">
            <v>0.25</v>
          </cell>
          <cell r="AD143">
            <v>315</v>
          </cell>
          <cell r="AE143">
            <v>1800</v>
          </cell>
          <cell r="AF143">
            <v>0.25</v>
          </cell>
          <cell r="AG143">
            <v>315</v>
          </cell>
          <cell r="AH143">
            <v>90</v>
          </cell>
        </row>
        <row r="144">
          <cell r="C144">
            <v>35643</v>
          </cell>
          <cell r="D144">
            <v>900</v>
          </cell>
          <cell r="E144">
            <v>0.15</v>
          </cell>
          <cell r="F144">
            <v>135</v>
          </cell>
          <cell r="G144">
            <v>1800</v>
          </cell>
          <cell r="H144">
            <v>0.25</v>
          </cell>
          <cell r="I144">
            <v>315</v>
          </cell>
          <cell r="J144">
            <v>1800</v>
          </cell>
          <cell r="K144">
            <v>0.25</v>
          </cell>
          <cell r="L144">
            <v>315</v>
          </cell>
          <cell r="M144">
            <v>1800</v>
          </cell>
          <cell r="N144">
            <v>0.25</v>
          </cell>
          <cell r="O144">
            <v>315</v>
          </cell>
          <cell r="P144">
            <v>1800</v>
          </cell>
          <cell r="Q144">
            <v>0.25</v>
          </cell>
          <cell r="R144">
            <v>315</v>
          </cell>
          <cell r="S144">
            <v>1800</v>
          </cell>
          <cell r="T144">
            <v>0.25</v>
          </cell>
          <cell r="U144">
            <v>315</v>
          </cell>
          <cell r="V144">
            <v>1800</v>
          </cell>
          <cell r="W144">
            <v>0.25</v>
          </cell>
          <cell r="X144">
            <v>315</v>
          </cell>
          <cell r="Y144">
            <v>1800</v>
          </cell>
          <cell r="Z144">
            <v>0.25</v>
          </cell>
          <cell r="AA144">
            <v>315</v>
          </cell>
          <cell r="AB144">
            <v>1800</v>
          </cell>
          <cell r="AC144">
            <v>0.25</v>
          </cell>
          <cell r="AD144">
            <v>315</v>
          </cell>
          <cell r="AE144">
            <v>1800</v>
          </cell>
          <cell r="AF144">
            <v>0.25</v>
          </cell>
          <cell r="AG144">
            <v>315</v>
          </cell>
          <cell r="AH144">
            <v>90</v>
          </cell>
        </row>
        <row r="145">
          <cell r="C145">
            <v>35674</v>
          </cell>
          <cell r="D145">
            <v>900</v>
          </cell>
          <cell r="E145">
            <v>0.15</v>
          </cell>
          <cell r="F145">
            <v>135</v>
          </cell>
          <cell r="G145">
            <v>1800</v>
          </cell>
          <cell r="H145">
            <v>0.25</v>
          </cell>
          <cell r="I145">
            <v>315</v>
          </cell>
          <cell r="J145">
            <v>1800</v>
          </cell>
          <cell r="K145">
            <v>0.25</v>
          </cell>
          <cell r="L145">
            <v>315</v>
          </cell>
          <cell r="M145">
            <v>1800</v>
          </cell>
          <cell r="N145">
            <v>0.25</v>
          </cell>
          <cell r="O145">
            <v>315</v>
          </cell>
          <cell r="P145">
            <v>1800</v>
          </cell>
          <cell r="Q145">
            <v>0.25</v>
          </cell>
          <cell r="R145">
            <v>315</v>
          </cell>
          <cell r="S145">
            <v>1800</v>
          </cell>
          <cell r="T145">
            <v>0.25</v>
          </cell>
          <cell r="U145">
            <v>315</v>
          </cell>
          <cell r="V145">
            <v>1800</v>
          </cell>
          <cell r="W145">
            <v>0.25</v>
          </cell>
          <cell r="X145">
            <v>315</v>
          </cell>
          <cell r="Y145">
            <v>1800</v>
          </cell>
          <cell r="Z145">
            <v>0.25</v>
          </cell>
          <cell r="AA145">
            <v>315</v>
          </cell>
          <cell r="AB145">
            <v>1800</v>
          </cell>
          <cell r="AC145">
            <v>0.25</v>
          </cell>
          <cell r="AD145">
            <v>315</v>
          </cell>
          <cell r="AE145">
            <v>1800</v>
          </cell>
          <cell r="AF145">
            <v>0.25</v>
          </cell>
          <cell r="AG145">
            <v>315</v>
          </cell>
          <cell r="AH145">
            <v>90</v>
          </cell>
        </row>
        <row r="146">
          <cell r="C146">
            <v>35704</v>
          </cell>
          <cell r="D146">
            <v>900</v>
          </cell>
          <cell r="E146">
            <v>0.15</v>
          </cell>
          <cell r="F146">
            <v>135</v>
          </cell>
          <cell r="G146">
            <v>1800</v>
          </cell>
          <cell r="H146">
            <v>0.25</v>
          </cell>
          <cell r="I146">
            <v>315</v>
          </cell>
          <cell r="J146">
            <v>1800</v>
          </cell>
          <cell r="K146">
            <v>0.25</v>
          </cell>
          <cell r="L146">
            <v>315</v>
          </cell>
          <cell r="M146">
            <v>1800</v>
          </cell>
          <cell r="N146">
            <v>0.25</v>
          </cell>
          <cell r="O146">
            <v>315</v>
          </cell>
          <cell r="P146">
            <v>1800</v>
          </cell>
          <cell r="Q146">
            <v>0.25</v>
          </cell>
          <cell r="R146">
            <v>315</v>
          </cell>
          <cell r="S146">
            <v>1800</v>
          </cell>
          <cell r="T146">
            <v>0.25</v>
          </cell>
          <cell r="U146">
            <v>315</v>
          </cell>
          <cell r="V146">
            <v>1800</v>
          </cell>
          <cell r="W146">
            <v>0.25</v>
          </cell>
          <cell r="X146">
            <v>315</v>
          </cell>
          <cell r="Y146">
            <v>1800</v>
          </cell>
          <cell r="Z146">
            <v>0.25</v>
          </cell>
          <cell r="AA146">
            <v>315</v>
          </cell>
          <cell r="AB146">
            <v>1800</v>
          </cell>
          <cell r="AC146">
            <v>0.25</v>
          </cell>
          <cell r="AD146">
            <v>315</v>
          </cell>
          <cell r="AE146">
            <v>1800</v>
          </cell>
          <cell r="AF146">
            <v>0.25</v>
          </cell>
          <cell r="AG146">
            <v>315</v>
          </cell>
          <cell r="AH146">
            <v>90</v>
          </cell>
        </row>
        <row r="147">
          <cell r="C147">
            <v>35735</v>
          </cell>
          <cell r="D147">
            <v>900</v>
          </cell>
          <cell r="E147">
            <v>0.15</v>
          </cell>
          <cell r="F147">
            <v>135</v>
          </cell>
          <cell r="G147">
            <v>1800</v>
          </cell>
          <cell r="H147">
            <v>0.25</v>
          </cell>
          <cell r="I147">
            <v>315</v>
          </cell>
          <cell r="J147">
            <v>1800</v>
          </cell>
          <cell r="K147">
            <v>0.25</v>
          </cell>
          <cell r="L147">
            <v>315</v>
          </cell>
          <cell r="M147">
            <v>1800</v>
          </cell>
          <cell r="N147">
            <v>0.25</v>
          </cell>
          <cell r="O147">
            <v>315</v>
          </cell>
          <cell r="P147">
            <v>1800</v>
          </cell>
          <cell r="Q147">
            <v>0.25</v>
          </cell>
          <cell r="R147">
            <v>315</v>
          </cell>
          <cell r="S147">
            <v>1800</v>
          </cell>
          <cell r="T147">
            <v>0.25</v>
          </cell>
          <cell r="U147">
            <v>315</v>
          </cell>
          <cell r="V147">
            <v>1800</v>
          </cell>
          <cell r="W147">
            <v>0.25</v>
          </cell>
          <cell r="X147">
            <v>315</v>
          </cell>
          <cell r="Y147">
            <v>1800</v>
          </cell>
          <cell r="Z147">
            <v>0.25</v>
          </cell>
          <cell r="AA147">
            <v>315</v>
          </cell>
          <cell r="AB147">
            <v>1800</v>
          </cell>
          <cell r="AC147">
            <v>0.25</v>
          </cell>
          <cell r="AD147">
            <v>315</v>
          </cell>
          <cell r="AE147">
            <v>1800</v>
          </cell>
          <cell r="AF147">
            <v>0.25</v>
          </cell>
          <cell r="AG147">
            <v>315</v>
          </cell>
          <cell r="AH147">
            <v>90</v>
          </cell>
        </row>
        <row r="148">
          <cell r="C148">
            <v>35765</v>
          </cell>
          <cell r="D148">
            <v>900</v>
          </cell>
          <cell r="E148">
            <v>0.15</v>
          </cell>
          <cell r="F148">
            <v>135</v>
          </cell>
          <cell r="G148">
            <v>1800</v>
          </cell>
          <cell r="H148">
            <v>0.25</v>
          </cell>
          <cell r="I148">
            <v>315</v>
          </cell>
          <cell r="J148">
            <v>1800</v>
          </cell>
          <cell r="K148">
            <v>0.25</v>
          </cell>
          <cell r="L148">
            <v>315</v>
          </cell>
          <cell r="M148">
            <v>1800</v>
          </cell>
          <cell r="N148">
            <v>0.25</v>
          </cell>
          <cell r="O148">
            <v>315</v>
          </cell>
          <cell r="P148">
            <v>1800</v>
          </cell>
          <cell r="Q148">
            <v>0.25</v>
          </cell>
          <cell r="R148">
            <v>315</v>
          </cell>
          <cell r="S148">
            <v>1800</v>
          </cell>
          <cell r="T148">
            <v>0.25</v>
          </cell>
          <cell r="U148">
            <v>315</v>
          </cell>
          <cell r="V148">
            <v>1800</v>
          </cell>
          <cell r="W148">
            <v>0.25</v>
          </cell>
          <cell r="X148">
            <v>315</v>
          </cell>
          <cell r="Y148">
            <v>1800</v>
          </cell>
          <cell r="Z148">
            <v>0.25</v>
          </cell>
          <cell r="AA148">
            <v>315</v>
          </cell>
          <cell r="AB148">
            <v>1800</v>
          </cell>
          <cell r="AC148">
            <v>0.25</v>
          </cell>
          <cell r="AD148">
            <v>315</v>
          </cell>
          <cell r="AE148">
            <v>1800</v>
          </cell>
          <cell r="AF148">
            <v>0.25</v>
          </cell>
          <cell r="AG148">
            <v>315</v>
          </cell>
          <cell r="AH148">
            <v>90</v>
          </cell>
        </row>
        <row r="149">
          <cell r="C149">
            <v>35796</v>
          </cell>
          <cell r="D149">
            <v>900</v>
          </cell>
          <cell r="E149">
            <v>0.15</v>
          </cell>
          <cell r="F149">
            <v>135</v>
          </cell>
          <cell r="G149">
            <v>1800</v>
          </cell>
          <cell r="H149">
            <v>0.27500000000000002</v>
          </cell>
          <cell r="I149">
            <v>360</v>
          </cell>
          <cell r="J149">
            <v>1800</v>
          </cell>
          <cell r="K149">
            <v>0.27500000000000002</v>
          </cell>
          <cell r="L149">
            <v>360</v>
          </cell>
          <cell r="M149">
            <v>1800</v>
          </cell>
          <cell r="N149">
            <v>0.27500000000000002</v>
          </cell>
          <cell r="O149">
            <v>360</v>
          </cell>
          <cell r="P149">
            <v>1800</v>
          </cell>
          <cell r="Q149">
            <v>0.27500000000000002</v>
          </cell>
          <cell r="R149">
            <v>360</v>
          </cell>
          <cell r="S149">
            <v>1800</v>
          </cell>
          <cell r="T149">
            <v>0.27500000000000002</v>
          </cell>
          <cell r="U149">
            <v>360</v>
          </cell>
          <cell r="V149">
            <v>1800</v>
          </cell>
          <cell r="W149">
            <v>0.27500000000000002</v>
          </cell>
          <cell r="X149">
            <v>360</v>
          </cell>
          <cell r="Y149">
            <v>1800</v>
          </cell>
          <cell r="Z149">
            <v>0.27500000000000002</v>
          </cell>
          <cell r="AA149">
            <v>360</v>
          </cell>
          <cell r="AB149">
            <v>1800</v>
          </cell>
          <cell r="AC149">
            <v>0.27500000000000002</v>
          </cell>
          <cell r="AD149">
            <v>360</v>
          </cell>
          <cell r="AE149">
            <v>1800</v>
          </cell>
          <cell r="AF149">
            <v>0.27500000000000002</v>
          </cell>
          <cell r="AG149">
            <v>360</v>
          </cell>
          <cell r="AH149">
            <v>90</v>
          </cell>
        </row>
        <row r="150">
          <cell r="C150">
            <v>35827</v>
          </cell>
          <cell r="D150">
            <v>900</v>
          </cell>
          <cell r="E150">
            <v>0.15</v>
          </cell>
          <cell r="F150">
            <v>135</v>
          </cell>
          <cell r="G150">
            <v>1800</v>
          </cell>
          <cell r="H150">
            <v>0.27500000000000002</v>
          </cell>
          <cell r="I150">
            <v>360</v>
          </cell>
          <cell r="J150">
            <v>1800</v>
          </cell>
          <cell r="K150">
            <v>0.27500000000000002</v>
          </cell>
          <cell r="L150">
            <v>360</v>
          </cell>
          <cell r="M150">
            <v>1800</v>
          </cell>
          <cell r="N150">
            <v>0.27500000000000002</v>
          </cell>
          <cell r="O150">
            <v>360</v>
          </cell>
          <cell r="P150">
            <v>1800</v>
          </cell>
          <cell r="Q150">
            <v>0.27500000000000002</v>
          </cell>
          <cell r="R150">
            <v>360</v>
          </cell>
          <cell r="S150">
            <v>1800</v>
          </cell>
          <cell r="T150">
            <v>0.27500000000000002</v>
          </cell>
          <cell r="U150">
            <v>360</v>
          </cell>
          <cell r="V150">
            <v>1800</v>
          </cell>
          <cell r="W150">
            <v>0.27500000000000002</v>
          </cell>
          <cell r="X150">
            <v>360</v>
          </cell>
          <cell r="Y150">
            <v>1800</v>
          </cell>
          <cell r="Z150">
            <v>0.27500000000000002</v>
          </cell>
          <cell r="AA150">
            <v>360</v>
          </cell>
          <cell r="AB150">
            <v>1800</v>
          </cell>
          <cell r="AC150">
            <v>0.27500000000000002</v>
          </cell>
          <cell r="AD150">
            <v>360</v>
          </cell>
          <cell r="AE150">
            <v>1800</v>
          </cell>
          <cell r="AF150">
            <v>0.27500000000000002</v>
          </cell>
          <cell r="AG150">
            <v>360</v>
          </cell>
          <cell r="AH150">
            <v>90</v>
          </cell>
        </row>
        <row r="151">
          <cell r="C151">
            <v>35855</v>
          </cell>
          <cell r="D151">
            <v>900</v>
          </cell>
          <cell r="E151">
            <v>0.15</v>
          </cell>
          <cell r="F151">
            <v>135</v>
          </cell>
          <cell r="G151">
            <v>1800</v>
          </cell>
          <cell r="H151">
            <v>0.27500000000000002</v>
          </cell>
          <cell r="I151">
            <v>360</v>
          </cell>
          <cell r="J151">
            <v>1800</v>
          </cell>
          <cell r="K151">
            <v>0.27500000000000002</v>
          </cell>
          <cell r="L151">
            <v>360</v>
          </cell>
          <cell r="M151">
            <v>1800</v>
          </cell>
          <cell r="N151">
            <v>0.27500000000000002</v>
          </cell>
          <cell r="O151">
            <v>360</v>
          </cell>
          <cell r="P151">
            <v>1800</v>
          </cell>
          <cell r="Q151">
            <v>0.27500000000000002</v>
          </cell>
          <cell r="R151">
            <v>360</v>
          </cell>
          <cell r="S151">
            <v>1800</v>
          </cell>
          <cell r="T151">
            <v>0.27500000000000002</v>
          </cell>
          <cell r="U151">
            <v>360</v>
          </cell>
          <cell r="V151">
            <v>1800</v>
          </cell>
          <cell r="W151">
            <v>0.27500000000000002</v>
          </cell>
          <cell r="X151">
            <v>360</v>
          </cell>
          <cell r="Y151">
            <v>1800</v>
          </cell>
          <cell r="Z151">
            <v>0.27500000000000002</v>
          </cell>
          <cell r="AA151">
            <v>360</v>
          </cell>
          <cell r="AB151">
            <v>1800</v>
          </cell>
          <cell r="AC151">
            <v>0.27500000000000002</v>
          </cell>
          <cell r="AD151">
            <v>360</v>
          </cell>
          <cell r="AE151">
            <v>1800</v>
          </cell>
          <cell r="AF151">
            <v>0.27500000000000002</v>
          </cell>
          <cell r="AG151">
            <v>360</v>
          </cell>
          <cell r="AH151">
            <v>90</v>
          </cell>
        </row>
        <row r="152">
          <cell r="C152">
            <v>35886</v>
          </cell>
          <cell r="D152">
            <v>900</v>
          </cell>
          <cell r="E152">
            <v>0.15</v>
          </cell>
          <cell r="F152">
            <v>135</v>
          </cell>
          <cell r="G152">
            <v>1800</v>
          </cell>
          <cell r="H152">
            <v>0.27500000000000002</v>
          </cell>
          <cell r="I152">
            <v>360</v>
          </cell>
          <cell r="J152">
            <v>1800</v>
          </cell>
          <cell r="K152">
            <v>0.27500000000000002</v>
          </cell>
          <cell r="L152">
            <v>360</v>
          </cell>
          <cell r="M152">
            <v>1800</v>
          </cell>
          <cell r="N152">
            <v>0.27500000000000002</v>
          </cell>
          <cell r="O152">
            <v>360</v>
          </cell>
          <cell r="P152">
            <v>1800</v>
          </cell>
          <cell r="Q152">
            <v>0.27500000000000002</v>
          </cell>
          <cell r="R152">
            <v>360</v>
          </cell>
          <cell r="S152">
            <v>1800</v>
          </cell>
          <cell r="T152">
            <v>0.27500000000000002</v>
          </cell>
          <cell r="U152">
            <v>360</v>
          </cell>
          <cell r="V152">
            <v>1800</v>
          </cell>
          <cell r="W152">
            <v>0.27500000000000002</v>
          </cell>
          <cell r="X152">
            <v>360</v>
          </cell>
          <cell r="Y152">
            <v>1800</v>
          </cell>
          <cell r="Z152">
            <v>0.27500000000000002</v>
          </cell>
          <cell r="AA152">
            <v>360</v>
          </cell>
          <cell r="AB152">
            <v>1800</v>
          </cell>
          <cell r="AC152">
            <v>0.27500000000000002</v>
          </cell>
          <cell r="AD152">
            <v>360</v>
          </cell>
          <cell r="AE152">
            <v>1800</v>
          </cell>
          <cell r="AF152">
            <v>0.27500000000000002</v>
          </cell>
          <cell r="AG152">
            <v>360</v>
          </cell>
          <cell r="AH152">
            <v>90</v>
          </cell>
        </row>
        <row r="153">
          <cell r="C153">
            <v>35916</v>
          </cell>
          <cell r="D153">
            <v>900</v>
          </cell>
          <cell r="E153">
            <v>0.15</v>
          </cell>
          <cell r="F153">
            <v>135</v>
          </cell>
          <cell r="G153">
            <v>1800</v>
          </cell>
          <cell r="H153">
            <v>0.27500000000000002</v>
          </cell>
          <cell r="I153">
            <v>360</v>
          </cell>
          <cell r="J153">
            <v>1800</v>
          </cell>
          <cell r="K153">
            <v>0.27500000000000002</v>
          </cell>
          <cell r="L153">
            <v>360</v>
          </cell>
          <cell r="M153">
            <v>1800</v>
          </cell>
          <cell r="N153">
            <v>0.27500000000000002</v>
          </cell>
          <cell r="O153">
            <v>360</v>
          </cell>
          <cell r="P153">
            <v>1800</v>
          </cell>
          <cell r="Q153">
            <v>0.27500000000000002</v>
          </cell>
          <cell r="R153">
            <v>360</v>
          </cell>
          <cell r="S153">
            <v>1800</v>
          </cell>
          <cell r="T153">
            <v>0.27500000000000002</v>
          </cell>
          <cell r="U153">
            <v>360</v>
          </cell>
          <cell r="V153">
            <v>1800</v>
          </cell>
          <cell r="W153">
            <v>0.27500000000000002</v>
          </cell>
          <cell r="X153">
            <v>360</v>
          </cell>
          <cell r="Y153">
            <v>1800</v>
          </cell>
          <cell r="Z153">
            <v>0.27500000000000002</v>
          </cell>
          <cell r="AA153">
            <v>360</v>
          </cell>
          <cell r="AB153">
            <v>1800</v>
          </cell>
          <cell r="AC153">
            <v>0.27500000000000002</v>
          </cell>
          <cell r="AD153">
            <v>360</v>
          </cell>
          <cell r="AE153">
            <v>1800</v>
          </cell>
          <cell r="AF153">
            <v>0.27500000000000002</v>
          </cell>
          <cell r="AG153">
            <v>360</v>
          </cell>
          <cell r="AH153">
            <v>90</v>
          </cell>
        </row>
        <row r="154">
          <cell r="C154">
            <v>35947</v>
          </cell>
          <cell r="D154">
            <v>900</v>
          </cell>
          <cell r="E154">
            <v>0.15</v>
          </cell>
          <cell r="F154">
            <v>135</v>
          </cell>
          <cell r="G154">
            <v>1800</v>
          </cell>
          <cell r="H154">
            <v>0.27500000000000002</v>
          </cell>
          <cell r="I154">
            <v>360</v>
          </cell>
          <cell r="J154">
            <v>1800</v>
          </cell>
          <cell r="K154">
            <v>0.27500000000000002</v>
          </cell>
          <cell r="L154">
            <v>360</v>
          </cell>
          <cell r="M154">
            <v>1800</v>
          </cell>
          <cell r="N154">
            <v>0.27500000000000002</v>
          </cell>
          <cell r="O154">
            <v>360</v>
          </cell>
          <cell r="P154">
            <v>1800</v>
          </cell>
          <cell r="Q154">
            <v>0.27500000000000002</v>
          </cell>
          <cell r="R154">
            <v>360</v>
          </cell>
          <cell r="S154">
            <v>1800</v>
          </cell>
          <cell r="T154">
            <v>0.27500000000000002</v>
          </cell>
          <cell r="U154">
            <v>360</v>
          </cell>
          <cell r="V154">
            <v>1800</v>
          </cell>
          <cell r="W154">
            <v>0.27500000000000002</v>
          </cell>
          <cell r="X154">
            <v>360</v>
          </cell>
          <cell r="Y154">
            <v>1800</v>
          </cell>
          <cell r="Z154">
            <v>0.27500000000000002</v>
          </cell>
          <cell r="AA154">
            <v>360</v>
          </cell>
          <cell r="AB154">
            <v>1800</v>
          </cell>
          <cell r="AC154">
            <v>0.27500000000000002</v>
          </cell>
          <cell r="AD154">
            <v>360</v>
          </cell>
          <cell r="AE154">
            <v>1800</v>
          </cell>
          <cell r="AF154">
            <v>0.27500000000000002</v>
          </cell>
          <cell r="AG154">
            <v>360</v>
          </cell>
          <cell r="AH154">
            <v>90</v>
          </cell>
        </row>
        <row r="155">
          <cell r="C155">
            <v>35977</v>
          </cell>
          <cell r="D155">
            <v>900</v>
          </cell>
          <cell r="E155">
            <v>0.15</v>
          </cell>
          <cell r="F155">
            <v>135</v>
          </cell>
          <cell r="G155">
            <v>1800</v>
          </cell>
          <cell r="H155">
            <v>0.27500000000000002</v>
          </cell>
          <cell r="I155">
            <v>360</v>
          </cell>
          <cell r="J155">
            <v>1800</v>
          </cell>
          <cell r="K155">
            <v>0.27500000000000002</v>
          </cell>
          <cell r="L155">
            <v>360</v>
          </cell>
          <cell r="M155">
            <v>1800</v>
          </cell>
          <cell r="N155">
            <v>0.27500000000000002</v>
          </cell>
          <cell r="O155">
            <v>360</v>
          </cell>
          <cell r="P155">
            <v>1800</v>
          </cell>
          <cell r="Q155">
            <v>0.27500000000000002</v>
          </cell>
          <cell r="R155">
            <v>360</v>
          </cell>
          <cell r="S155">
            <v>1800</v>
          </cell>
          <cell r="T155">
            <v>0.27500000000000002</v>
          </cell>
          <cell r="U155">
            <v>360</v>
          </cell>
          <cell r="V155">
            <v>1800</v>
          </cell>
          <cell r="W155">
            <v>0.27500000000000002</v>
          </cell>
          <cell r="X155">
            <v>360</v>
          </cell>
          <cell r="Y155">
            <v>1800</v>
          </cell>
          <cell r="Z155">
            <v>0.27500000000000002</v>
          </cell>
          <cell r="AA155">
            <v>360</v>
          </cell>
          <cell r="AB155">
            <v>1800</v>
          </cell>
          <cell r="AC155">
            <v>0.27500000000000002</v>
          </cell>
          <cell r="AD155">
            <v>360</v>
          </cell>
          <cell r="AE155">
            <v>1800</v>
          </cell>
          <cell r="AF155">
            <v>0.27500000000000002</v>
          </cell>
          <cell r="AG155">
            <v>360</v>
          </cell>
          <cell r="AH155">
            <v>90</v>
          </cell>
        </row>
        <row r="156">
          <cell r="C156">
            <v>36008</v>
          </cell>
          <cell r="D156">
            <v>900</v>
          </cell>
          <cell r="E156">
            <v>0.15</v>
          </cell>
          <cell r="F156">
            <v>135</v>
          </cell>
          <cell r="G156">
            <v>1800</v>
          </cell>
          <cell r="H156">
            <v>0.27500000000000002</v>
          </cell>
          <cell r="I156">
            <v>360</v>
          </cell>
          <cell r="J156">
            <v>1800</v>
          </cell>
          <cell r="K156">
            <v>0.27500000000000002</v>
          </cell>
          <cell r="L156">
            <v>360</v>
          </cell>
          <cell r="M156">
            <v>1800</v>
          </cell>
          <cell r="N156">
            <v>0.27500000000000002</v>
          </cell>
          <cell r="O156">
            <v>360</v>
          </cell>
          <cell r="P156">
            <v>1800</v>
          </cell>
          <cell r="Q156">
            <v>0.27500000000000002</v>
          </cell>
          <cell r="R156">
            <v>360</v>
          </cell>
          <cell r="S156">
            <v>1800</v>
          </cell>
          <cell r="T156">
            <v>0.27500000000000002</v>
          </cell>
          <cell r="U156">
            <v>360</v>
          </cell>
          <cell r="V156">
            <v>1800</v>
          </cell>
          <cell r="W156">
            <v>0.27500000000000002</v>
          </cell>
          <cell r="X156">
            <v>360</v>
          </cell>
          <cell r="Y156">
            <v>1800</v>
          </cell>
          <cell r="Z156">
            <v>0.27500000000000002</v>
          </cell>
          <cell r="AA156">
            <v>360</v>
          </cell>
          <cell r="AB156">
            <v>1800</v>
          </cell>
          <cell r="AC156">
            <v>0.27500000000000002</v>
          </cell>
          <cell r="AD156">
            <v>360</v>
          </cell>
          <cell r="AE156">
            <v>1800</v>
          </cell>
          <cell r="AF156">
            <v>0.27500000000000002</v>
          </cell>
          <cell r="AG156">
            <v>360</v>
          </cell>
          <cell r="AH156">
            <v>90</v>
          </cell>
        </row>
        <row r="157">
          <cell r="C157">
            <v>36039</v>
          </cell>
          <cell r="D157">
            <v>900</v>
          </cell>
          <cell r="E157">
            <v>0.15</v>
          </cell>
          <cell r="F157">
            <v>135</v>
          </cell>
          <cell r="G157">
            <v>1800</v>
          </cell>
          <cell r="H157">
            <v>0.27500000000000002</v>
          </cell>
          <cell r="I157">
            <v>360</v>
          </cell>
          <cell r="J157">
            <v>1800</v>
          </cell>
          <cell r="K157">
            <v>0.27500000000000002</v>
          </cell>
          <cell r="L157">
            <v>360</v>
          </cell>
          <cell r="M157">
            <v>1800</v>
          </cell>
          <cell r="N157">
            <v>0.27500000000000002</v>
          </cell>
          <cell r="O157">
            <v>360</v>
          </cell>
          <cell r="P157">
            <v>1800</v>
          </cell>
          <cell r="Q157">
            <v>0.27500000000000002</v>
          </cell>
          <cell r="R157">
            <v>360</v>
          </cell>
          <cell r="S157">
            <v>1800</v>
          </cell>
          <cell r="T157">
            <v>0.27500000000000002</v>
          </cell>
          <cell r="U157">
            <v>360</v>
          </cell>
          <cell r="V157">
            <v>1800</v>
          </cell>
          <cell r="W157">
            <v>0.27500000000000002</v>
          </cell>
          <cell r="X157">
            <v>360</v>
          </cell>
          <cell r="Y157">
            <v>1800</v>
          </cell>
          <cell r="Z157">
            <v>0.27500000000000002</v>
          </cell>
          <cell r="AA157">
            <v>360</v>
          </cell>
          <cell r="AB157">
            <v>1800</v>
          </cell>
          <cell r="AC157">
            <v>0.27500000000000002</v>
          </cell>
          <cell r="AD157">
            <v>360</v>
          </cell>
          <cell r="AE157">
            <v>1800</v>
          </cell>
          <cell r="AF157">
            <v>0.27500000000000002</v>
          </cell>
          <cell r="AG157">
            <v>360</v>
          </cell>
          <cell r="AH157">
            <v>90</v>
          </cell>
        </row>
        <row r="158">
          <cell r="C158">
            <v>36069</v>
          </cell>
          <cell r="D158">
            <v>900</v>
          </cell>
          <cell r="E158">
            <v>0.15</v>
          </cell>
          <cell r="F158">
            <v>135</v>
          </cell>
          <cell r="G158">
            <v>1800</v>
          </cell>
          <cell r="H158">
            <v>0.27500000000000002</v>
          </cell>
          <cell r="I158">
            <v>360</v>
          </cell>
          <cell r="J158">
            <v>1800</v>
          </cell>
          <cell r="K158">
            <v>0.27500000000000002</v>
          </cell>
          <cell r="L158">
            <v>360</v>
          </cell>
          <cell r="M158">
            <v>1800</v>
          </cell>
          <cell r="N158">
            <v>0.27500000000000002</v>
          </cell>
          <cell r="O158">
            <v>360</v>
          </cell>
          <cell r="P158">
            <v>1800</v>
          </cell>
          <cell r="Q158">
            <v>0.27500000000000002</v>
          </cell>
          <cell r="R158">
            <v>360</v>
          </cell>
          <cell r="S158">
            <v>1800</v>
          </cell>
          <cell r="T158">
            <v>0.27500000000000002</v>
          </cell>
          <cell r="U158">
            <v>360</v>
          </cell>
          <cell r="V158">
            <v>1800</v>
          </cell>
          <cell r="W158">
            <v>0.27500000000000002</v>
          </cell>
          <cell r="X158">
            <v>360</v>
          </cell>
          <cell r="Y158">
            <v>1800</v>
          </cell>
          <cell r="Z158">
            <v>0.27500000000000002</v>
          </cell>
          <cell r="AA158">
            <v>360</v>
          </cell>
          <cell r="AB158">
            <v>1800</v>
          </cell>
          <cell r="AC158">
            <v>0.27500000000000002</v>
          </cell>
          <cell r="AD158">
            <v>360</v>
          </cell>
          <cell r="AE158">
            <v>1800</v>
          </cell>
          <cell r="AF158">
            <v>0.27500000000000002</v>
          </cell>
          <cell r="AG158">
            <v>360</v>
          </cell>
          <cell r="AH158">
            <v>90</v>
          </cell>
        </row>
        <row r="159">
          <cell r="C159">
            <v>36100</v>
          </cell>
          <cell r="D159">
            <v>900</v>
          </cell>
          <cell r="E159">
            <v>0.15</v>
          </cell>
          <cell r="F159">
            <v>135</v>
          </cell>
          <cell r="G159">
            <v>1800</v>
          </cell>
          <cell r="H159">
            <v>0.27500000000000002</v>
          </cell>
          <cell r="I159">
            <v>360</v>
          </cell>
          <cell r="J159">
            <v>1800</v>
          </cell>
          <cell r="K159">
            <v>0.27500000000000002</v>
          </cell>
          <cell r="L159">
            <v>360</v>
          </cell>
          <cell r="M159">
            <v>1800</v>
          </cell>
          <cell r="N159">
            <v>0.27500000000000002</v>
          </cell>
          <cell r="O159">
            <v>360</v>
          </cell>
          <cell r="P159">
            <v>1800</v>
          </cell>
          <cell r="Q159">
            <v>0.27500000000000002</v>
          </cell>
          <cell r="R159">
            <v>360</v>
          </cell>
          <cell r="S159">
            <v>1800</v>
          </cell>
          <cell r="T159">
            <v>0.27500000000000002</v>
          </cell>
          <cell r="U159">
            <v>360</v>
          </cell>
          <cell r="V159">
            <v>1800</v>
          </cell>
          <cell r="W159">
            <v>0.27500000000000002</v>
          </cell>
          <cell r="X159">
            <v>360</v>
          </cell>
          <cell r="Y159">
            <v>1800</v>
          </cell>
          <cell r="Z159">
            <v>0.27500000000000002</v>
          </cell>
          <cell r="AA159">
            <v>360</v>
          </cell>
          <cell r="AB159">
            <v>1800</v>
          </cell>
          <cell r="AC159">
            <v>0.27500000000000002</v>
          </cell>
          <cell r="AD159">
            <v>360</v>
          </cell>
          <cell r="AE159">
            <v>1800</v>
          </cell>
          <cell r="AF159">
            <v>0.27500000000000002</v>
          </cell>
          <cell r="AG159">
            <v>360</v>
          </cell>
          <cell r="AH159">
            <v>90</v>
          </cell>
        </row>
        <row r="160">
          <cell r="C160">
            <v>36130</v>
          </cell>
          <cell r="D160">
            <v>900</v>
          </cell>
          <cell r="E160">
            <v>0.15</v>
          </cell>
          <cell r="F160">
            <v>135</v>
          </cell>
          <cell r="G160">
            <v>1800</v>
          </cell>
          <cell r="H160">
            <v>0.27500000000000002</v>
          </cell>
          <cell r="I160">
            <v>360</v>
          </cell>
          <cell r="J160">
            <v>1800</v>
          </cell>
          <cell r="K160">
            <v>0.27500000000000002</v>
          </cell>
          <cell r="L160">
            <v>360</v>
          </cell>
          <cell r="M160">
            <v>1800</v>
          </cell>
          <cell r="N160">
            <v>0.27500000000000002</v>
          </cell>
          <cell r="O160">
            <v>360</v>
          </cell>
          <cell r="P160">
            <v>1800</v>
          </cell>
          <cell r="Q160">
            <v>0.27500000000000002</v>
          </cell>
          <cell r="R160">
            <v>360</v>
          </cell>
          <cell r="S160">
            <v>1800</v>
          </cell>
          <cell r="T160">
            <v>0.27500000000000002</v>
          </cell>
          <cell r="U160">
            <v>360</v>
          </cell>
          <cell r="V160">
            <v>1800</v>
          </cell>
          <cell r="W160">
            <v>0.27500000000000002</v>
          </cell>
          <cell r="X160">
            <v>360</v>
          </cell>
          <cell r="Y160">
            <v>1800</v>
          </cell>
          <cell r="Z160">
            <v>0.27500000000000002</v>
          </cell>
          <cell r="AA160">
            <v>360</v>
          </cell>
          <cell r="AB160">
            <v>1800</v>
          </cell>
          <cell r="AC160">
            <v>0.27500000000000002</v>
          </cell>
          <cell r="AD160">
            <v>360</v>
          </cell>
          <cell r="AE160">
            <v>1800</v>
          </cell>
          <cell r="AF160">
            <v>0.27500000000000002</v>
          </cell>
          <cell r="AG160">
            <v>360</v>
          </cell>
          <cell r="AH160">
            <v>90</v>
          </cell>
        </row>
        <row r="161">
          <cell r="C161">
            <v>36161</v>
          </cell>
          <cell r="D161">
            <v>900</v>
          </cell>
          <cell r="E161">
            <v>0.15</v>
          </cell>
          <cell r="F161">
            <v>135</v>
          </cell>
          <cell r="G161">
            <v>1800</v>
          </cell>
          <cell r="H161">
            <v>0.27500000000000002</v>
          </cell>
          <cell r="I161">
            <v>360</v>
          </cell>
          <cell r="J161">
            <v>1800</v>
          </cell>
          <cell r="K161">
            <v>0.27500000000000002</v>
          </cell>
          <cell r="L161">
            <v>360</v>
          </cell>
          <cell r="M161">
            <v>1800</v>
          </cell>
          <cell r="N161">
            <v>0.27500000000000002</v>
          </cell>
          <cell r="O161">
            <v>360</v>
          </cell>
          <cell r="P161">
            <v>1800</v>
          </cell>
          <cell r="Q161">
            <v>0.27500000000000002</v>
          </cell>
          <cell r="R161">
            <v>360</v>
          </cell>
          <cell r="S161">
            <v>1800</v>
          </cell>
          <cell r="T161">
            <v>0.27500000000000002</v>
          </cell>
          <cell r="U161">
            <v>360</v>
          </cell>
          <cell r="V161">
            <v>1800</v>
          </cell>
          <cell r="W161">
            <v>0.27500000000000002</v>
          </cell>
          <cell r="X161">
            <v>360</v>
          </cell>
          <cell r="Y161">
            <v>1800</v>
          </cell>
          <cell r="Z161">
            <v>0.27500000000000002</v>
          </cell>
          <cell r="AA161">
            <v>360</v>
          </cell>
          <cell r="AB161">
            <v>1800</v>
          </cell>
          <cell r="AC161">
            <v>0.27500000000000002</v>
          </cell>
          <cell r="AD161">
            <v>360</v>
          </cell>
          <cell r="AE161">
            <v>1800</v>
          </cell>
          <cell r="AF161">
            <v>0.27500000000000002</v>
          </cell>
          <cell r="AG161">
            <v>360</v>
          </cell>
          <cell r="AH161">
            <v>90</v>
          </cell>
        </row>
        <row r="162">
          <cell r="C162">
            <v>36192</v>
          </cell>
          <cell r="D162">
            <v>900</v>
          </cell>
          <cell r="E162">
            <v>0.15</v>
          </cell>
          <cell r="F162">
            <v>135</v>
          </cell>
          <cell r="G162">
            <v>1800</v>
          </cell>
          <cell r="H162">
            <v>0.27500000000000002</v>
          </cell>
          <cell r="I162">
            <v>360</v>
          </cell>
          <cell r="J162">
            <v>1800</v>
          </cell>
          <cell r="K162">
            <v>0.27500000000000002</v>
          </cell>
          <cell r="L162">
            <v>360</v>
          </cell>
          <cell r="M162">
            <v>1800</v>
          </cell>
          <cell r="N162">
            <v>0.27500000000000002</v>
          </cell>
          <cell r="O162">
            <v>360</v>
          </cell>
          <cell r="P162">
            <v>1800</v>
          </cell>
          <cell r="Q162">
            <v>0.27500000000000002</v>
          </cell>
          <cell r="R162">
            <v>360</v>
          </cell>
          <cell r="S162">
            <v>1800</v>
          </cell>
          <cell r="T162">
            <v>0.27500000000000002</v>
          </cell>
          <cell r="U162">
            <v>360</v>
          </cell>
          <cell r="V162">
            <v>1800</v>
          </cell>
          <cell r="W162">
            <v>0.27500000000000002</v>
          </cell>
          <cell r="X162">
            <v>360</v>
          </cell>
          <cell r="Y162">
            <v>1800</v>
          </cell>
          <cell r="Z162">
            <v>0.27500000000000002</v>
          </cell>
          <cell r="AA162">
            <v>360</v>
          </cell>
          <cell r="AB162">
            <v>1800</v>
          </cell>
          <cell r="AC162">
            <v>0.27500000000000002</v>
          </cell>
          <cell r="AD162">
            <v>360</v>
          </cell>
          <cell r="AE162">
            <v>1800</v>
          </cell>
          <cell r="AF162">
            <v>0.27500000000000002</v>
          </cell>
          <cell r="AG162">
            <v>360</v>
          </cell>
          <cell r="AH162">
            <v>90</v>
          </cell>
        </row>
        <row r="163">
          <cell r="C163">
            <v>36220</v>
          </cell>
          <cell r="D163">
            <v>900</v>
          </cell>
          <cell r="E163">
            <v>0.15</v>
          </cell>
          <cell r="F163">
            <v>135</v>
          </cell>
          <cell r="G163">
            <v>1800</v>
          </cell>
          <cell r="H163">
            <v>0.27500000000000002</v>
          </cell>
          <cell r="I163">
            <v>360</v>
          </cell>
          <cell r="J163">
            <v>1800</v>
          </cell>
          <cell r="K163">
            <v>0.27500000000000002</v>
          </cell>
          <cell r="L163">
            <v>360</v>
          </cell>
          <cell r="M163">
            <v>1800</v>
          </cell>
          <cell r="N163">
            <v>0.27500000000000002</v>
          </cell>
          <cell r="O163">
            <v>360</v>
          </cell>
          <cell r="P163">
            <v>1800</v>
          </cell>
          <cell r="Q163">
            <v>0.27500000000000002</v>
          </cell>
          <cell r="R163">
            <v>360</v>
          </cell>
          <cell r="S163">
            <v>1800</v>
          </cell>
          <cell r="T163">
            <v>0.27500000000000002</v>
          </cell>
          <cell r="U163">
            <v>360</v>
          </cell>
          <cell r="V163">
            <v>1800</v>
          </cell>
          <cell r="W163">
            <v>0.27500000000000002</v>
          </cell>
          <cell r="X163">
            <v>360</v>
          </cell>
          <cell r="Y163">
            <v>1800</v>
          </cell>
          <cell r="Z163">
            <v>0.27500000000000002</v>
          </cell>
          <cell r="AA163">
            <v>360</v>
          </cell>
          <cell r="AB163">
            <v>1800</v>
          </cell>
          <cell r="AC163">
            <v>0.27500000000000002</v>
          </cell>
          <cell r="AD163">
            <v>360</v>
          </cell>
          <cell r="AE163">
            <v>1800</v>
          </cell>
          <cell r="AF163">
            <v>0.27500000000000002</v>
          </cell>
          <cell r="AG163">
            <v>360</v>
          </cell>
          <cell r="AH163">
            <v>90</v>
          </cell>
        </row>
        <row r="164">
          <cell r="C164">
            <v>36251</v>
          </cell>
          <cell r="D164">
            <v>900</v>
          </cell>
          <cell r="E164">
            <v>0.15</v>
          </cell>
          <cell r="F164">
            <v>135</v>
          </cell>
          <cell r="G164">
            <v>1800</v>
          </cell>
          <cell r="H164">
            <v>0.27500000000000002</v>
          </cell>
          <cell r="I164">
            <v>360</v>
          </cell>
          <cell r="J164">
            <v>1800</v>
          </cell>
          <cell r="K164">
            <v>0.27500000000000002</v>
          </cell>
          <cell r="L164">
            <v>360</v>
          </cell>
          <cell r="M164">
            <v>1800</v>
          </cell>
          <cell r="N164">
            <v>0.27500000000000002</v>
          </cell>
          <cell r="O164">
            <v>360</v>
          </cell>
          <cell r="P164">
            <v>1800</v>
          </cell>
          <cell r="Q164">
            <v>0.27500000000000002</v>
          </cell>
          <cell r="R164">
            <v>360</v>
          </cell>
          <cell r="S164">
            <v>1800</v>
          </cell>
          <cell r="T164">
            <v>0.27500000000000002</v>
          </cell>
          <cell r="U164">
            <v>360</v>
          </cell>
          <cell r="V164">
            <v>1800</v>
          </cell>
          <cell r="W164">
            <v>0.27500000000000002</v>
          </cell>
          <cell r="X164">
            <v>360</v>
          </cell>
          <cell r="Y164">
            <v>1800</v>
          </cell>
          <cell r="Z164">
            <v>0.27500000000000002</v>
          </cell>
          <cell r="AA164">
            <v>360</v>
          </cell>
          <cell r="AB164">
            <v>1800</v>
          </cell>
          <cell r="AC164">
            <v>0.27500000000000002</v>
          </cell>
          <cell r="AD164">
            <v>360</v>
          </cell>
          <cell r="AE164">
            <v>1800</v>
          </cell>
          <cell r="AF164">
            <v>0.27500000000000002</v>
          </cell>
          <cell r="AG164">
            <v>360</v>
          </cell>
          <cell r="AH164">
            <v>90</v>
          </cell>
        </row>
        <row r="165">
          <cell r="C165">
            <v>36281</v>
          </cell>
          <cell r="D165">
            <v>900</v>
          </cell>
          <cell r="E165">
            <v>0.15</v>
          </cell>
          <cell r="F165">
            <v>135</v>
          </cell>
          <cell r="G165">
            <v>1800</v>
          </cell>
          <cell r="H165">
            <v>0.27500000000000002</v>
          </cell>
          <cell r="I165">
            <v>360</v>
          </cell>
          <cell r="J165">
            <v>1800</v>
          </cell>
          <cell r="K165">
            <v>0.27500000000000002</v>
          </cell>
          <cell r="L165">
            <v>360</v>
          </cell>
          <cell r="M165">
            <v>1800</v>
          </cell>
          <cell r="N165">
            <v>0.27500000000000002</v>
          </cell>
          <cell r="O165">
            <v>360</v>
          </cell>
          <cell r="P165">
            <v>1800</v>
          </cell>
          <cell r="Q165">
            <v>0.27500000000000002</v>
          </cell>
          <cell r="R165">
            <v>360</v>
          </cell>
          <cell r="S165">
            <v>1800</v>
          </cell>
          <cell r="T165">
            <v>0.27500000000000002</v>
          </cell>
          <cell r="U165">
            <v>360</v>
          </cell>
          <cell r="V165">
            <v>1800</v>
          </cell>
          <cell r="W165">
            <v>0.27500000000000002</v>
          </cell>
          <cell r="X165">
            <v>360</v>
          </cell>
          <cell r="Y165">
            <v>1800</v>
          </cell>
          <cell r="Z165">
            <v>0.27500000000000002</v>
          </cell>
          <cell r="AA165">
            <v>360</v>
          </cell>
          <cell r="AB165">
            <v>1800</v>
          </cell>
          <cell r="AC165">
            <v>0.27500000000000002</v>
          </cell>
          <cell r="AD165">
            <v>360</v>
          </cell>
          <cell r="AE165">
            <v>1800</v>
          </cell>
          <cell r="AF165">
            <v>0.27500000000000002</v>
          </cell>
          <cell r="AG165">
            <v>360</v>
          </cell>
          <cell r="AH165">
            <v>90</v>
          </cell>
        </row>
        <row r="166">
          <cell r="C166">
            <v>36312</v>
          </cell>
          <cell r="D166">
            <v>900</v>
          </cell>
          <cell r="E166">
            <v>0.15</v>
          </cell>
          <cell r="F166">
            <v>135</v>
          </cell>
          <cell r="G166">
            <v>1800</v>
          </cell>
          <cell r="H166">
            <v>0.27500000000000002</v>
          </cell>
          <cell r="I166">
            <v>360</v>
          </cell>
          <cell r="J166">
            <v>1800</v>
          </cell>
          <cell r="K166">
            <v>0.27500000000000002</v>
          </cell>
          <cell r="L166">
            <v>360</v>
          </cell>
          <cell r="M166">
            <v>1800</v>
          </cell>
          <cell r="N166">
            <v>0.27500000000000002</v>
          </cell>
          <cell r="O166">
            <v>360</v>
          </cell>
          <cell r="P166">
            <v>1800</v>
          </cell>
          <cell r="Q166">
            <v>0.27500000000000002</v>
          </cell>
          <cell r="R166">
            <v>360</v>
          </cell>
          <cell r="S166">
            <v>1800</v>
          </cell>
          <cell r="T166">
            <v>0.27500000000000002</v>
          </cell>
          <cell r="U166">
            <v>360</v>
          </cell>
          <cell r="V166">
            <v>1800</v>
          </cell>
          <cell r="W166">
            <v>0.27500000000000002</v>
          </cell>
          <cell r="X166">
            <v>360</v>
          </cell>
          <cell r="Y166">
            <v>1800</v>
          </cell>
          <cell r="Z166">
            <v>0.27500000000000002</v>
          </cell>
          <cell r="AA166">
            <v>360</v>
          </cell>
          <cell r="AB166">
            <v>1800</v>
          </cell>
          <cell r="AC166">
            <v>0.27500000000000002</v>
          </cell>
          <cell r="AD166">
            <v>360</v>
          </cell>
          <cell r="AE166">
            <v>1800</v>
          </cell>
          <cell r="AF166">
            <v>0.27500000000000002</v>
          </cell>
          <cell r="AG166">
            <v>360</v>
          </cell>
          <cell r="AH166">
            <v>90</v>
          </cell>
        </row>
        <row r="167">
          <cell r="C167">
            <v>36342</v>
          </cell>
          <cell r="D167">
            <v>900</v>
          </cell>
          <cell r="E167">
            <v>0.15</v>
          </cell>
          <cell r="F167">
            <v>135</v>
          </cell>
          <cell r="G167">
            <v>1800</v>
          </cell>
          <cell r="H167">
            <v>0.27500000000000002</v>
          </cell>
          <cell r="I167">
            <v>360</v>
          </cell>
          <cell r="J167">
            <v>1800</v>
          </cell>
          <cell r="K167">
            <v>0.27500000000000002</v>
          </cell>
          <cell r="L167">
            <v>360</v>
          </cell>
          <cell r="M167">
            <v>1800</v>
          </cell>
          <cell r="N167">
            <v>0.27500000000000002</v>
          </cell>
          <cell r="O167">
            <v>360</v>
          </cell>
          <cell r="P167">
            <v>1800</v>
          </cell>
          <cell r="Q167">
            <v>0.27500000000000002</v>
          </cell>
          <cell r="R167">
            <v>360</v>
          </cell>
          <cell r="S167">
            <v>1800</v>
          </cell>
          <cell r="T167">
            <v>0.27500000000000002</v>
          </cell>
          <cell r="U167">
            <v>360</v>
          </cell>
          <cell r="V167">
            <v>1800</v>
          </cell>
          <cell r="W167">
            <v>0.27500000000000002</v>
          </cell>
          <cell r="X167">
            <v>360</v>
          </cell>
          <cell r="Y167">
            <v>1800</v>
          </cell>
          <cell r="Z167">
            <v>0.27500000000000002</v>
          </cell>
          <cell r="AA167">
            <v>360</v>
          </cell>
          <cell r="AB167">
            <v>1800</v>
          </cell>
          <cell r="AC167">
            <v>0.27500000000000002</v>
          </cell>
          <cell r="AD167">
            <v>360</v>
          </cell>
          <cell r="AE167">
            <v>1800</v>
          </cell>
          <cell r="AF167">
            <v>0.27500000000000002</v>
          </cell>
          <cell r="AG167">
            <v>360</v>
          </cell>
          <cell r="AH167">
            <v>90</v>
          </cell>
        </row>
        <row r="168">
          <cell r="C168">
            <v>36373</v>
          </cell>
          <cell r="D168">
            <v>900</v>
          </cell>
          <cell r="E168">
            <v>0.15</v>
          </cell>
          <cell r="F168">
            <v>135</v>
          </cell>
          <cell r="G168">
            <v>1800</v>
          </cell>
          <cell r="H168">
            <v>0.27500000000000002</v>
          </cell>
          <cell r="I168">
            <v>360</v>
          </cell>
          <cell r="J168">
            <v>1800</v>
          </cell>
          <cell r="K168">
            <v>0.27500000000000002</v>
          </cell>
          <cell r="L168">
            <v>360</v>
          </cell>
          <cell r="M168">
            <v>1800</v>
          </cell>
          <cell r="N168">
            <v>0.27500000000000002</v>
          </cell>
          <cell r="O168">
            <v>360</v>
          </cell>
          <cell r="P168">
            <v>1800</v>
          </cell>
          <cell r="Q168">
            <v>0.27500000000000002</v>
          </cell>
          <cell r="R168">
            <v>360</v>
          </cell>
          <cell r="S168">
            <v>1800</v>
          </cell>
          <cell r="T168">
            <v>0.27500000000000002</v>
          </cell>
          <cell r="U168">
            <v>360</v>
          </cell>
          <cell r="V168">
            <v>1800</v>
          </cell>
          <cell r="W168">
            <v>0.27500000000000002</v>
          </cell>
          <cell r="X168">
            <v>360</v>
          </cell>
          <cell r="Y168">
            <v>1800</v>
          </cell>
          <cell r="Z168">
            <v>0.27500000000000002</v>
          </cell>
          <cell r="AA168">
            <v>360</v>
          </cell>
          <cell r="AB168">
            <v>1800</v>
          </cell>
          <cell r="AC168">
            <v>0.27500000000000002</v>
          </cell>
          <cell r="AD168">
            <v>360</v>
          </cell>
          <cell r="AE168">
            <v>1800</v>
          </cell>
          <cell r="AF168">
            <v>0.27500000000000002</v>
          </cell>
          <cell r="AG168">
            <v>360</v>
          </cell>
          <cell r="AH168">
            <v>90</v>
          </cell>
        </row>
        <row r="169">
          <cell r="C169">
            <v>36404</v>
          </cell>
          <cell r="D169">
            <v>900</v>
          </cell>
          <cell r="E169">
            <v>0.15</v>
          </cell>
          <cell r="F169">
            <v>135</v>
          </cell>
          <cell r="G169">
            <v>1800</v>
          </cell>
          <cell r="H169">
            <v>0.27500000000000002</v>
          </cell>
          <cell r="I169">
            <v>360</v>
          </cell>
          <cell r="J169">
            <v>1800</v>
          </cell>
          <cell r="K169">
            <v>0.27500000000000002</v>
          </cell>
          <cell r="L169">
            <v>360</v>
          </cell>
          <cell r="M169">
            <v>1800</v>
          </cell>
          <cell r="N169">
            <v>0.27500000000000002</v>
          </cell>
          <cell r="O169">
            <v>360</v>
          </cell>
          <cell r="P169">
            <v>1800</v>
          </cell>
          <cell r="Q169">
            <v>0.27500000000000002</v>
          </cell>
          <cell r="R169">
            <v>360</v>
          </cell>
          <cell r="S169">
            <v>1800</v>
          </cell>
          <cell r="T169">
            <v>0.27500000000000002</v>
          </cell>
          <cell r="U169">
            <v>360</v>
          </cell>
          <cell r="V169">
            <v>1800</v>
          </cell>
          <cell r="W169">
            <v>0.27500000000000002</v>
          </cell>
          <cell r="X169">
            <v>360</v>
          </cell>
          <cell r="Y169">
            <v>1800</v>
          </cell>
          <cell r="Z169">
            <v>0.27500000000000002</v>
          </cell>
          <cell r="AA169">
            <v>360</v>
          </cell>
          <cell r="AB169">
            <v>1800</v>
          </cell>
          <cell r="AC169">
            <v>0.27500000000000002</v>
          </cell>
          <cell r="AD169">
            <v>360</v>
          </cell>
          <cell r="AE169">
            <v>1800</v>
          </cell>
          <cell r="AF169">
            <v>0.27500000000000002</v>
          </cell>
          <cell r="AG169">
            <v>360</v>
          </cell>
          <cell r="AH169">
            <v>90</v>
          </cell>
        </row>
        <row r="170">
          <cell r="C170">
            <v>36434</v>
          </cell>
          <cell r="D170">
            <v>900</v>
          </cell>
          <cell r="E170">
            <v>0.15</v>
          </cell>
          <cell r="F170">
            <v>135</v>
          </cell>
          <cell r="G170">
            <v>1800</v>
          </cell>
          <cell r="H170">
            <v>0.27500000000000002</v>
          </cell>
          <cell r="I170">
            <v>360</v>
          </cell>
          <cell r="J170">
            <v>1800</v>
          </cell>
          <cell r="K170">
            <v>0.27500000000000002</v>
          </cell>
          <cell r="L170">
            <v>360</v>
          </cell>
          <cell r="M170">
            <v>1800</v>
          </cell>
          <cell r="N170">
            <v>0.27500000000000002</v>
          </cell>
          <cell r="O170">
            <v>360</v>
          </cell>
          <cell r="P170">
            <v>1800</v>
          </cell>
          <cell r="Q170">
            <v>0.27500000000000002</v>
          </cell>
          <cell r="R170">
            <v>360</v>
          </cell>
          <cell r="S170">
            <v>1800</v>
          </cell>
          <cell r="T170">
            <v>0.27500000000000002</v>
          </cell>
          <cell r="U170">
            <v>360</v>
          </cell>
          <cell r="V170">
            <v>1800</v>
          </cell>
          <cell r="W170">
            <v>0.27500000000000002</v>
          </cell>
          <cell r="X170">
            <v>360</v>
          </cell>
          <cell r="Y170">
            <v>1800</v>
          </cell>
          <cell r="Z170">
            <v>0.27500000000000002</v>
          </cell>
          <cell r="AA170">
            <v>360</v>
          </cell>
          <cell r="AB170">
            <v>1800</v>
          </cell>
          <cell r="AC170">
            <v>0.27500000000000002</v>
          </cell>
          <cell r="AD170">
            <v>360</v>
          </cell>
          <cell r="AE170">
            <v>1800</v>
          </cell>
          <cell r="AF170">
            <v>0.27500000000000002</v>
          </cell>
          <cell r="AG170">
            <v>360</v>
          </cell>
          <cell r="AH170">
            <v>90</v>
          </cell>
        </row>
        <row r="171">
          <cell r="C171">
            <v>36465</v>
          </cell>
          <cell r="D171">
            <v>900</v>
          </cell>
          <cell r="E171">
            <v>0.15</v>
          </cell>
          <cell r="F171">
            <v>135</v>
          </cell>
          <cell r="G171">
            <v>1800</v>
          </cell>
          <cell r="H171">
            <v>0.27500000000000002</v>
          </cell>
          <cell r="I171">
            <v>360</v>
          </cell>
          <cell r="J171">
            <v>1800</v>
          </cell>
          <cell r="K171">
            <v>0.27500000000000002</v>
          </cell>
          <cell r="L171">
            <v>360</v>
          </cell>
          <cell r="M171">
            <v>1800</v>
          </cell>
          <cell r="N171">
            <v>0.27500000000000002</v>
          </cell>
          <cell r="O171">
            <v>360</v>
          </cell>
          <cell r="P171">
            <v>1800</v>
          </cell>
          <cell r="Q171">
            <v>0.27500000000000002</v>
          </cell>
          <cell r="R171">
            <v>360</v>
          </cell>
          <cell r="S171">
            <v>1800</v>
          </cell>
          <cell r="T171">
            <v>0.27500000000000002</v>
          </cell>
          <cell r="U171">
            <v>360</v>
          </cell>
          <cell r="V171">
            <v>1800</v>
          </cell>
          <cell r="W171">
            <v>0.27500000000000002</v>
          </cell>
          <cell r="X171">
            <v>360</v>
          </cell>
          <cell r="Y171">
            <v>1800</v>
          </cell>
          <cell r="Z171">
            <v>0.27500000000000002</v>
          </cell>
          <cell r="AA171">
            <v>360</v>
          </cell>
          <cell r="AB171">
            <v>1800</v>
          </cell>
          <cell r="AC171">
            <v>0.27500000000000002</v>
          </cell>
          <cell r="AD171">
            <v>360</v>
          </cell>
          <cell r="AE171">
            <v>1800</v>
          </cell>
          <cell r="AF171">
            <v>0.27500000000000002</v>
          </cell>
          <cell r="AG171">
            <v>360</v>
          </cell>
          <cell r="AH171">
            <v>90</v>
          </cell>
        </row>
        <row r="172">
          <cell r="C172">
            <v>36495</v>
          </cell>
          <cell r="D172">
            <v>900</v>
          </cell>
          <cell r="E172">
            <v>0.15</v>
          </cell>
          <cell r="F172">
            <v>135</v>
          </cell>
          <cell r="G172">
            <v>1800</v>
          </cell>
          <cell r="H172">
            <v>0.27500000000000002</v>
          </cell>
          <cell r="I172">
            <v>360</v>
          </cell>
          <cell r="J172">
            <v>1800</v>
          </cell>
          <cell r="K172">
            <v>0.27500000000000002</v>
          </cell>
          <cell r="L172">
            <v>360</v>
          </cell>
          <cell r="M172">
            <v>1800</v>
          </cell>
          <cell r="N172">
            <v>0.27500000000000002</v>
          </cell>
          <cell r="O172">
            <v>360</v>
          </cell>
          <cell r="P172">
            <v>1800</v>
          </cell>
          <cell r="Q172">
            <v>0.27500000000000002</v>
          </cell>
          <cell r="R172">
            <v>360</v>
          </cell>
          <cell r="S172">
            <v>1800</v>
          </cell>
          <cell r="T172">
            <v>0.27500000000000002</v>
          </cell>
          <cell r="U172">
            <v>360</v>
          </cell>
          <cell r="V172">
            <v>1800</v>
          </cell>
          <cell r="W172">
            <v>0.27500000000000002</v>
          </cell>
          <cell r="X172">
            <v>360</v>
          </cell>
          <cell r="Y172">
            <v>1800</v>
          </cell>
          <cell r="Z172">
            <v>0.27500000000000002</v>
          </cell>
          <cell r="AA172">
            <v>360</v>
          </cell>
          <cell r="AB172">
            <v>1800</v>
          </cell>
          <cell r="AC172">
            <v>0.27500000000000002</v>
          </cell>
          <cell r="AD172">
            <v>360</v>
          </cell>
          <cell r="AE172">
            <v>1800</v>
          </cell>
          <cell r="AF172">
            <v>0.27500000000000002</v>
          </cell>
          <cell r="AG172">
            <v>360</v>
          </cell>
          <cell r="AH172">
            <v>90</v>
          </cell>
        </row>
        <row r="173">
          <cell r="C173">
            <v>36526</v>
          </cell>
          <cell r="D173">
            <v>900</v>
          </cell>
          <cell r="E173">
            <v>0.15</v>
          </cell>
          <cell r="F173">
            <v>135</v>
          </cell>
          <cell r="G173">
            <v>1800</v>
          </cell>
          <cell r="H173">
            <v>0.27500000000000002</v>
          </cell>
          <cell r="I173">
            <v>360</v>
          </cell>
          <cell r="J173">
            <v>1800</v>
          </cell>
          <cell r="K173">
            <v>0.27500000000000002</v>
          </cell>
          <cell r="L173">
            <v>360</v>
          </cell>
          <cell r="M173">
            <v>1800</v>
          </cell>
          <cell r="N173">
            <v>0.27500000000000002</v>
          </cell>
          <cell r="O173">
            <v>360</v>
          </cell>
          <cell r="P173">
            <v>1800</v>
          </cell>
          <cell r="Q173">
            <v>0.27500000000000002</v>
          </cell>
          <cell r="R173">
            <v>360</v>
          </cell>
          <cell r="S173">
            <v>1800</v>
          </cell>
          <cell r="T173">
            <v>0.27500000000000002</v>
          </cell>
          <cell r="U173">
            <v>360</v>
          </cell>
          <cell r="V173">
            <v>1800</v>
          </cell>
          <cell r="W173">
            <v>0.27500000000000002</v>
          </cell>
          <cell r="X173">
            <v>360</v>
          </cell>
          <cell r="Y173">
            <v>1800</v>
          </cell>
          <cell r="Z173">
            <v>0.27500000000000002</v>
          </cell>
          <cell r="AA173">
            <v>360</v>
          </cell>
          <cell r="AB173">
            <v>1800</v>
          </cell>
          <cell r="AC173">
            <v>0.27500000000000002</v>
          </cell>
          <cell r="AD173">
            <v>360</v>
          </cell>
          <cell r="AE173">
            <v>1800</v>
          </cell>
          <cell r="AF173">
            <v>0.27500000000000002</v>
          </cell>
          <cell r="AG173">
            <v>360</v>
          </cell>
          <cell r="AH173">
            <v>90</v>
          </cell>
        </row>
        <row r="174">
          <cell r="C174">
            <v>36557</v>
          </cell>
          <cell r="D174">
            <v>900</v>
          </cell>
          <cell r="E174">
            <v>0.15</v>
          </cell>
          <cell r="F174">
            <v>135</v>
          </cell>
          <cell r="G174">
            <v>1800</v>
          </cell>
          <cell r="H174">
            <v>0.27500000000000002</v>
          </cell>
          <cell r="I174">
            <v>360</v>
          </cell>
          <cell r="J174">
            <v>1800</v>
          </cell>
          <cell r="K174">
            <v>0.27500000000000002</v>
          </cell>
          <cell r="L174">
            <v>360</v>
          </cell>
          <cell r="M174">
            <v>1800</v>
          </cell>
          <cell r="N174">
            <v>0.27500000000000002</v>
          </cell>
          <cell r="O174">
            <v>360</v>
          </cell>
          <cell r="P174">
            <v>1800</v>
          </cell>
          <cell r="Q174">
            <v>0.27500000000000002</v>
          </cell>
          <cell r="R174">
            <v>360</v>
          </cell>
          <cell r="S174">
            <v>1800</v>
          </cell>
          <cell r="T174">
            <v>0.27500000000000002</v>
          </cell>
          <cell r="U174">
            <v>360</v>
          </cell>
          <cell r="V174">
            <v>1800</v>
          </cell>
          <cell r="W174">
            <v>0.27500000000000002</v>
          </cell>
          <cell r="X174">
            <v>360</v>
          </cell>
          <cell r="Y174">
            <v>1800</v>
          </cell>
          <cell r="Z174">
            <v>0.27500000000000002</v>
          </cell>
          <cell r="AA174">
            <v>360</v>
          </cell>
          <cell r="AB174">
            <v>1800</v>
          </cell>
          <cell r="AC174">
            <v>0.27500000000000002</v>
          </cell>
          <cell r="AD174">
            <v>360</v>
          </cell>
          <cell r="AE174">
            <v>1800</v>
          </cell>
          <cell r="AF174">
            <v>0.27500000000000002</v>
          </cell>
          <cell r="AG174">
            <v>360</v>
          </cell>
          <cell r="AH174">
            <v>90</v>
          </cell>
        </row>
        <row r="175">
          <cell r="C175">
            <v>36586</v>
          </cell>
          <cell r="D175">
            <v>900</v>
          </cell>
          <cell r="E175">
            <v>0.15</v>
          </cell>
          <cell r="F175">
            <v>135</v>
          </cell>
          <cell r="G175">
            <v>1800</v>
          </cell>
          <cell r="H175">
            <v>0.27500000000000002</v>
          </cell>
          <cell r="I175">
            <v>360</v>
          </cell>
          <cell r="J175">
            <v>1800</v>
          </cell>
          <cell r="K175">
            <v>0.27500000000000002</v>
          </cell>
          <cell r="L175">
            <v>360</v>
          </cell>
          <cell r="M175">
            <v>1800</v>
          </cell>
          <cell r="N175">
            <v>0.27500000000000002</v>
          </cell>
          <cell r="O175">
            <v>360</v>
          </cell>
          <cell r="P175">
            <v>1800</v>
          </cell>
          <cell r="Q175">
            <v>0.27500000000000002</v>
          </cell>
          <cell r="R175">
            <v>360</v>
          </cell>
          <cell r="S175">
            <v>1800</v>
          </cell>
          <cell r="T175">
            <v>0.27500000000000002</v>
          </cell>
          <cell r="U175">
            <v>360</v>
          </cell>
          <cell r="V175">
            <v>1800</v>
          </cell>
          <cell r="W175">
            <v>0.27500000000000002</v>
          </cell>
          <cell r="X175">
            <v>360</v>
          </cell>
          <cell r="Y175">
            <v>1800</v>
          </cell>
          <cell r="Z175">
            <v>0.27500000000000002</v>
          </cell>
          <cell r="AA175">
            <v>360</v>
          </cell>
          <cell r="AB175">
            <v>1800</v>
          </cell>
          <cell r="AC175">
            <v>0.27500000000000002</v>
          </cell>
          <cell r="AD175">
            <v>360</v>
          </cell>
          <cell r="AE175">
            <v>1800</v>
          </cell>
          <cell r="AF175">
            <v>0.27500000000000002</v>
          </cell>
          <cell r="AG175">
            <v>360</v>
          </cell>
          <cell r="AH175">
            <v>90</v>
          </cell>
        </row>
        <row r="176">
          <cell r="C176">
            <v>36617</v>
          </cell>
          <cell r="D176">
            <v>900</v>
          </cell>
          <cell r="E176">
            <v>0.15</v>
          </cell>
          <cell r="F176">
            <v>135</v>
          </cell>
          <cell r="G176">
            <v>1800</v>
          </cell>
          <cell r="H176">
            <v>0.27500000000000002</v>
          </cell>
          <cell r="I176">
            <v>360</v>
          </cell>
          <cell r="J176">
            <v>1800</v>
          </cell>
          <cell r="K176">
            <v>0.27500000000000002</v>
          </cell>
          <cell r="L176">
            <v>360</v>
          </cell>
          <cell r="M176">
            <v>1800</v>
          </cell>
          <cell r="N176">
            <v>0.27500000000000002</v>
          </cell>
          <cell r="O176">
            <v>360</v>
          </cell>
          <cell r="P176">
            <v>1800</v>
          </cell>
          <cell r="Q176">
            <v>0.27500000000000002</v>
          </cell>
          <cell r="R176">
            <v>360</v>
          </cell>
          <cell r="S176">
            <v>1800</v>
          </cell>
          <cell r="T176">
            <v>0.27500000000000002</v>
          </cell>
          <cell r="U176">
            <v>360</v>
          </cell>
          <cell r="V176">
            <v>1800</v>
          </cell>
          <cell r="W176">
            <v>0.27500000000000002</v>
          </cell>
          <cell r="X176">
            <v>360</v>
          </cell>
          <cell r="Y176">
            <v>1800</v>
          </cell>
          <cell r="Z176">
            <v>0.27500000000000002</v>
          </cell>
          <cell r="AA176">
            <v>360</v>
          </cell>
          <cell r="AB176">
            <v>1800</v>
          </cell>
          <cell r="AC176">
            <v>0.27500000000000002</v>
          </cell>
          <cell r="AD176">
            <v>360</v>
          </cell>
          <cell r="AE176">
            <v>1800</v>
          </cell>
          <cell r="AF176">
            <v>0.27500000000000002</v>
          </cell>
          <cell r="AG176">
            <v>360</v>
          </cell>
          <cell r="AH176">
            <v>90</v>
          </cell>
        </row>
        <row r="177">
          <cell r="C177">
            <v>36647</v>
          </cell>
          <cell r="D177">
            <v>900</v>
          </cell>
          <cell r="E177">
            <v>0.15</v>
          </cell>
          <cell r="F177">
            <v>135</v>
          </cell>
          <cell r="G177">
            <v>1800</v>
          </cell>
          <cell r="H177">
            <v>0.27500000000000002</v>
          </cell>
          <cell r="I177">
            <v>360</v>
          </cell>
          <cell r="J177">
            <v>1800</v>
          </cell>
          <cell r="K177">
            <v>0.27500000000000002</v>
          </cell>
          <cell r="L177">
            <v>360</v>
          </cell>
          <cell r="M177">
            <v>1800</v>
          </cell>
          <cell r="N177">
            <v>0.27500000000000002</v>
          </cell>
          <cell r="O177">
            <v>360</v>
          </cell>
          <cell r="P177">
            <v>1800</v>
          </cell>
          <cell r="Q177">
            <v>0.27500000000000002</v>
          </cell>
          <cell r="R177">
            <v>360</v>
          </cell>
          <cell r="S177">
            <v>1800</v>
          </cell>
          <cell r="T177">
            <v>0.27500000000000002</v>
          </cell>
          <cell r="U177">
            <v>360</v>
          </cell>
          <cell r="V177">
            <v>1800</v>
          </cell>
          <cell r="W177">
            <v>0.27500000000000002</v>
          </cell>
          <cell r="X177">
            <v>360</v>
          </cell>
          <cell r="Y177">
            <v>1800</v>
          </cell>
          <cell r="Z177">
            <v>0.27500000000000002</v>
          </cell>
          <cell r="AA177">
            <v>360</v>
          </cell>
          <cell r="AB177">
            <v>1800</v>
          </cell>
          <cell r="AC177">
            <v>0.27500000000000002</v>
          </cell>
          <cell r="AD177">
            <v>360</v>
          </cell>
          <cell r="AE177">
            <v>1800</v>
          </cell>
          <cell r="AF177">
            <v>0.27500000000000002</v>
          </cell>
          <cell r="AG177">
            <v>360</v>
          </cell>
          <cell r="AH177">
            <v>90</v>
          </cell>
        </row>
        <row r="178">
          <cell r="C178">
            <v>36678</v>
          </cell>
          <cell r="D178">
            <v>900</v>
          </cell>
          <cell r="E178">
            <v>0.15</v>
          </cell>
          <cell r="F178">
            <v>135</v>
          </cell>
          <cell r="G178">
            <v>1800</v>
          </cell>
          <cell r="H178">
            <v>0.27500000000000002</v>
          </cell>
          <cell r="I178">
            <v>360</v>
          </cell>
          <cell r="J178">
            <v>1800</v>
          </cell>
          <cell r="K178">
            <v>0.27500000000000002</v>
          </cell>
          <cell r="L178">
            <v>360</v>
          </cell>
          <cell r="M178">
            <v>1800</v>
          </cell>
          <cell r="N178">
            <v>0.27500000000000002</v>
          </cell>
          <cell r="O178">
            <v>360</v>
          </cell>
          <cell r="P178">
            <v>1800</v>
          </cell>
          <cell r="Q178">
            <v>0.27500000000000002</v>
          </cell>
          <cell r="R178">
            <v>360</v>
          </cell>
          <cell r="S178">
            <v>1800</v>
          </cell>
          <cell r="T178">
            <v>0.27500000000000002</v>
          </cell>
          <cell r="U178">
            <v>360</v>
          </cell>
          <cell r="V178">
            <v>1800</v>
          </cell>
          <cell r="W178">
            <v>0.27500000000000002</v>
          </cell>
          <cell r="X178">
            <v>360</v>
          </cell>
          <cell r="Y178">
            <v>1800</v>
          </cell>
          <cell r="Z178">
            <v>0.27500000000000002</v>
          </cell>
          <cell r="AA178">
            <v>360</v>
          </cell>
          <cell r="AB178">
            <v>1800</v>
          </cell>
          <cell r="AC178">
            <v>0.27500000000000002</v>
          </cell>
          <cell r="AD178">
            <v>360</v>
          </cell>
          <cell r="AE178">
            <v>1800</v>
          </cell>
          <cell r="AF178">
            <v>0.27500000000000002</v>
          </cell>
          <cell r="AG178">
            <v>360</v>
          </cell>
          <cell r="AH178">
            <v>90</v>
          </cell>
        </row>
        <row r="179">
          <cell r="C179">
            <v>36708</v>
          </cell>
          <cell r="D179">
            <v>900</v>
          </cell>
          <cell r="E179">
            <v>0.15</v>
          </cell>
          <cell r="F179">
            <v>135</v>
          </cell>
          <cell r="G179">
            <v>1800</v>
          </cell>
          <cell r="H179">
            <v>0.27500000000000002</v>
          </cell>
          <cell r="I179">
            <v>360</v>
          </cell>
          <cell r="J179">
            <v>1800</v>
          </cell>
          <cell r="K179">
            <v>0.27500000000000002</v>
          </cell>
          <cell r="L179">
            <v>360</v>
          </cell>
          <cell r="M179">
            <v>1800</v>
          </cell>
          <cell r="N179">
            <v>0.27500000000000002</v>
          </cell>
          <cell r="O179">
            <v>360</v>
          </cell>
          <cell r="P179">
            <v>1800</v>
          </cell>
          <cell r="Q179">
            <v>0.27500000000000002</v>
          </cell>
          <cell r="R179">
            <v>360</v>
          </cell>
          <cell r="S179">
            <v>1800</v>
          </cell>
          <cell r="T179">
            <v>0.27500000000000002</v>
          </cell>
          <cell r="U179">
            <v>360</v>
          </cell>
          <cell r="V179">
            <v>1800</v>
          </cell>
          <cell r="W179">
            <v>0.27500000000000002</v>
          </cell>
          <cell r="X179">
            <v>360</v>
          </cell>
          <cell r="Y179">
            <v>1800</v>
          </cell>
          <cell r="Z179">
            <v>0.27500000000000002</v>
          </cell>
          <cell r="AA179">
            <v>360</v>
          </cell>
          <cell r="AB179">
            <v>1800</v>
          </cell>
          <cell r="AC179">
            <v>0.27500000000000002</v>
          </cell>
          <cell r="AD179">
            <v>360</v>
          </cell>
          <cell r="AE179">
            <v>1800</v>
          </cell>
          <cell r="AF179">
            <v>0.27500000000000002</v>
          </cell>
          <cell r="AG179">
            <v>360</v>
          </cell>
          <cell r="AH179">
            <v>90</v>
          </cell>
        </row>
        <row r="180">
          <cell r="C180">
            <v>36739</v>
          </cell>
          <cell r="D180">
            <v>900</v>
          </cell>
          <cell r="E180">
            <v>0.15</v>
          </cell>
          <cell r="F180">
            <v>135</v>
          </cell>
          <cell r="G180">
            <v>1800</v>
          </cell>
          <cell r="H180">
            <v>0.27500000000000002</v>
          </cell>
          <cell r="I180">
            <v>360</v>
          </cell>
          <cell r="J180">
            <v>1800</v>
          </cell>
          <cell r="K180">
            <v>0.27500000000000002</v>
          </cell>
          <cell r="L180">
            <v>360</v>
          </cell>
          <cell r="M180">
            <v>1800</v>
          </cell>
          <cell r="N180">
            <v>0.27500000000000002</v>
          </cell>
          <cell r="O180">
            <v>360</v>
          </cell>
          <cell r="P180">
            <v>1800</v>
          </cell>
          <cell r="Q180">
            <v>0.27500000000000002</v>
          </cell>
          <cell r="R180">
            <v>360</v>
          </cell>
          <cell r="S180">
            <v>1800</v>
          </cell>
          <cell r="T180">
            <v>0.27500000000000002</v>
          </cell>
          <cell r="U180">
            <v>360</v>
          </cell>
          <cell r="V180">
            <v>1800</v>
          </cell>
          <cell r="W180">
            <v>0.27500000000000002</v>
          </cell>
          <cell r="X180">
            <v>360</v>
          </cell>
          <cell r="Y180">
            <v>1800</v>
          </cell>
          <cell r="Z180">
            <v>0.27500000000000002</v>
          </cell>
          <cell r="AA180">
            <v>360</v>
          </cell>
          <cell r="AB180">
            <v>1800</v>
          </cell>
          <cell r="AC180">
            <v>0.27500000000000002</v>
          </cell>
          <cell r="AD180">
            <v>360</v>
          </cell>
          <cell r="AE180">
            <v>1800</v>
          </cell>
          <cell r="AF180">
            <v>0.27500000000000002</v>
          </cell>
          <cell r="AG180">
            <v>360</v>
          </cell>
          <cell r="AH180">
            <v>90</v>
          </cell>
        </row>
        <row r="181">
          <cell r="C181">
            <v>36770</v>
          </cell>
          <cell r="D181">
            <v>900</v>
          </cell>
          <cell r="E181">
            <v>0.15</v>
          </cell>
          <cell r="F181">
            <v>135</v>
          </cell>
          <cell r="G181">
            <v>1800</v>
          </cell>
          <cell r="H181">
            <v>0.27500000000000002</v>
          </cell>
          <cell r="I181">
            <v>360</v>
          </cell>
          <cell r="J181">
            <v>1800</v>
          </cell>
          <cell r="K181">
            <v>0.27500000000000002</v>
          </cell>
          <cell r="L181">
            <v>360</v>
          </cell>
          <cell r="M181">
            <v>1800</v>
          </cell>
          <cell r="N181">
            <v>0.27500000000000002</v>
          </cell>
          <cell r="O181">
            <v>360</v>
          </cell>
          <cell r="P181">
            <v>1800</v>
          </cell>
          <cell r="Q181">
            <v>0.27500000000000002</v>
          </cell>
          <cell r="R181">
            <v>360</v>
          </cell>
          <cell r="S181">
            <v>1800</v>
          </cell>
          <cell r="T181">
            <v>0.27500000000000002</v>
          </cell>
          <cell r="U181">
            <v>360</v>
          </cell>
          <cell r="V181">
            <v>1800</v>
          </cell>
          <cell r="W181">
            <v>0.27500000000000002</v>
          </cell>
          <cell r="X181">
            <v>360</v>
          </cell>
          <cell r="Y181">
            <v>1800</v>
          </cell>
          <cell r="Z181">
            <v>0.27500000000000002</v>
          </cell>
          <cell r="AA181">
            <v>360</v>
          </cell>
          <cell r="AB181">
            <v>1800</v>
          </cell>
          <cell r="AC181">
            <v>0.27500000000000002</v>
          </cell>
          <cell r="AD181">
            <v>360</v>
          </cell>
          <cell r="AE181">
            <v>1800</v>
          </cell>
          <cell r="AF181">
            <v>0.27500000000000002</v>
          </cell>
          <cell r="AG181">
            <v>360</v>
          </cell>
          <cell r="AH181">
            <v>90</v>
          </cell>
        </row>
        <row r="182">
          <cell r="C182">
            <v>36800</v>
          </cell>
          <cell r="D182">
            <v>900</v>
          </cell>
          <cell r="E182">
            <v>0.15</v>
          </cell>
          <cell r="F182">
            <v>135</v>
          </cell>
          <cell r="G182">
            <v>1800</v>
          </cell>
          <cell r="H182">
            <v>0.27500000000000002</v>
          </cell>
          <cell r="I182">
            <v>360</v>
          </cell>
          <cell r="J182">
            <v>1800</v>
          </cell>
          <cell r="K182">
            <v>0.27500000000000002</v>
          </cell>
          <cell r="L182">
            <v>360</v>
          </cell>
          <cell r="M182">
            <v>1800</v>
          </cell>
          <cell r="N182">
            <v>0.27500000000000002</v>
          </cell>
          <cell r="O182">
            <v>360</v>
          </cell>
          <cell r="P182">
            <v>1800</v>
          </cell>
          <cell r="Q182">
            <v>0.27500000000000002</v>
          </cell>
          <cell r="R182">
            <v>360</v>
          </cell>
          <cell r="S182">
            <v>1800</v>
          </cell>
          <cell r="T182">
            <v>0.27500000000000002</v>
          </cell>
          <cell r="U182">
            <v>360</v>
          </cell>
          <cell r="V182">
            <v>1800</v>
          </cell>
          <cell r="W182">
            <v>0.27500000000000002</v>
          </cell>
          <cell r="X182">
            <v>360</v>
          </cell>
          <cell r="Y182">
            <v>1800</v>
          </cell>
          <cell r="Z182">
            <v>0.27500000000000002</v>
          </cell>
          <cell r="AA182">
            <v>360</v>
          </cell>
          <cell r="AB182">
            <v>1800</v>
          </cell>
          <cell r="AC182">
            <v>0.27500000000000002</v>
          </cell>
          <cell r="AD182">
            <v>360</v>
          </cell>
          <cell r="AE182">
            <v>1800</v>
          </cell>
          <cell r="AF182">
            <v>0.27500000000000002</v>
          </cell>
          <cell r="AG182">
            <v>360</v>
          </cell>
          <cell r="AH182">
            <v>90</v>
          </cell>
        </row>
        <row r="183">
          <cell r="C183">
            <v>36831</v>
          </cell>
          <cell r="D183">
            <v>900</v>
          </cell>
          <cell r="E183">
            <v>0.15</v>
          </cell>
          <cell r="F183">
            <v>135</v>
          </cell>
          <cell r="G183">
            <v>1800</v>
          </cell>
          <cell r="H183">
            <v>0.27500000000000002</v>
          </cell>
          <cell r="I183">
            <v>360</v>
          </cell>
          <cell r="J183">
            <v>1800</v>
          </cell>
          <cell r="K183">
            <v>0.27500000000000002</v>
          </cell>
          <cell r="L183">
            <v>360</v>
          </cell>
          <cell r="M183">
            <v>1800</v>
          </cell>
          <cell r="N183">
            <v>0.27500000000000002</v>
          </cell>
          <cell r="O183">
            <v>360</v>
          </cell>
          <cell r="P183">
            <v>1800</v>
          </cell>
          <cell r="Q183">
            <v>0.27500000000000002</v>
          </cell>
          <cell r="R183">
            <v>360</v>
          </cell>
          <cell r="S183">
            <v>1800</v>
          </cell>
          <cell r="T183">
            <v>0.27500000000000002</v>
          </cell>
          <cell r="U183">
            <v>360</v>
          </cell>
          <cell r="V183">
            <v>1800</v>
          </cell>
          <cell r="W183">
            <v>0.27500000000000002</v>
          </cell>
          <cell r="X183">
            <v>360</v>
          </cell>
          <cell r="Y183">
            <v>1800</v>
          </cell>
          <cell r="Z183">
            <v>0.27500000000000002</v>
          </cell>
          <cell r="AA183">
            <v>360</v>
          </cell>
          <cell r="AB183">
            <v>1800</v>
          </cell>
          <cell r="AC183">
            <v>0.27500000000000002</v>
          </cell>
          <cell r="AD183">
            <v>360</v>
          </cell>
          <cell r="AE183">
            <v>1800</v>
          </cell>
          <cell r="AF183">
            <v>0.27500000000000002</v>
          </cell>
          <cell r="AG183">
            <v>360</v>
          </cell>
          <cell r="AH183">
            <v>90</v>
          </cell>
        </row>
        <row r="184">
          <cell r="C184">
            <v>36861</v>
          </cell>
          <cell r="D184">
            <v>900</v>
          </cell>
          <cell r="E184">
            <v>0.15</v>
          </cell>
          <cell r="F184">
            <v>135</v>
          </cell>
          <cell r="G184">
            <v>1800</v>
          </cell>
          <cell r="H184">
            <v>0.27500000000000002</v>
          </cell>
          <cell r="I184">
            <v>360</v>
          </cell>
          <cell r="J184">
            <v>1800</v>
          </cell>
          <cell r="K184">
            <v>0.27500000000000002</v>
          </cell>
          <cell r="L184">
            <v>360</v>
          </cell>
          <cell r="M184">
            <v>1800</v>
          </cell>
          <cell r="N184">
            <v>0.27500000000000002</v>
          </cell>
          <cell r="O184">
            <v>360</v>
          </cell>
          <cell r="P184">
            <v>1800</v>
          </cell>
          <cell r="Q184">
            <v>0.27500000000000002</v>
          </cell>
          <cell r="R184">
            <v>360</v>
          </cell>
          <cell r="S184">
            <v>1800</v>
          </cell>
          <cell r="T184">
            <v>0.27500000000000002</v>
          </cell>
          <cell r="U184">
            <v>360</v>
          </cell>
          <cell r="V184">
            <v>1800</v>
          </cell>
          <cell r="W184">
            <v>0.27500000000000002</v>
          </cell>
          <cell r="X184">
            <v>360</v>
          </cell>
          <cell r="Y184">
            <v>1800</v>
          </cell>
          <cell r="Z184">
            <v>0.27500000000000002</v>
          </cell>
          <cell r="AA184">
            <v>360</v>
          </cell>
          <cell r="AB184">
            <v>1800</v>
          </cell>
          <cell r="AC184">
            <v>0.27500000000000002</v>
          </cell>
          <cell r="AD184">
            <v>360</v>
          </cell>
          <cell r="AE184">
            <v>1800</v>
          </cell>
          <cell r="AF184">
            <v>0.27500000000000002</v>
          </cell>
          <cell r="AG184">
            <v>360</v>
          </cell>
          <cell r="AH184">
            <v>90</v>
          </cell>
        </row>
        <row r="185">
          <cell r="C185">
            <v>36892</v>
          </cell>
          <cell r="D185">
            <v>900</v>
          </cell>
          <cell r="E185">
            <v>0.15</v>
          </cell>
          <cell r="F185">
            <v>135</v>
          </cell>
          <cell r="G185">
            <v>1800</v>
          </cell>
          <cell r="H185">
            <v>0.27500000000000002</v>
          </cell>
          <cell r="I185">
            <v>360</v>
          </cell>
          <cell r="J185">
            <v>1800</v>
          </cell>
          <cell r="K185">
            <v>0.27500000000000002</v>
          </cell>
          <cell r="L185">
            <v>360</v>
          </cell>
          <cell r="M185">
            <v>1800</v>
          </cell>
          <cell r="N185">
            <v>0.27500000000000002</v>
          </cell>
          <cell r="O185">
            <v>360</v>
          </cell>
          <cell r="P185">
            <v>1800</v>
          </cell>
          <cell r="Q185">
            <v>0.27500000000000002</v>
          </cell>
          <cell r="R185">
            <v>360</v>
          </cell>
          <cell r="S185">
            <v>1800</v>
          </cell>
          <cell r="T185">
            <v>0.27500000000000002</v>
          </cell>
          <cell r="U185">
            <v>360</v>
          </cell>
          <cell r="V185">
            <v>1800</v>
          </cell>
          <cell r="W185">
            <v>0.27500000000000002</v>
          </cell>
          <cell r="X185">
            <v>360</v>
          </cell>
          <cell r="Y185">
            <v>1800</v>
          </cell>
          <cell r="Z185">
            <v>0.27500000000000002</v>
          </cell>
          <cell r="AA185">
            <v>360</v>
          </cell>
          <cell r="AB185">
            <v>1800</v>
          </cell>
          <cell r="AC185">
            <v>0.27500000000000002</v>
          </cell>
          <cell r="AD185">
            <v>360</v>
          </cell>
          <cell r="AE185">
            <v>1800</v>
          </cell>
          <cell r="AF185">
            <v>0.27500000000000002</v>
          </cell>
          <cell r="AG185">
            <v>360</v>
          </cell>
          <cell r="AH185">
            <v>90</v>
          </cell>
        </row>
        <row r="186">
          <cell r="C186">
            <v>36923</v>
          </cell>
          <cell r="D186">
            <v>900</v>
          </cell>
          <cell r="E186">
            <v>0.15</v>
          </cell>
          <cell r="F186">
            <v>135</v>
          </cell>
          <cell r="G186">
            <v>1800</v>
          </cell>
          <cell r="H186">
            <v>0.27500000000000002</v>
          </cell>
          <cell r="I186">
            <v>360</v>
          </cell>
          <cell r="J186">
            <v>1800</v>
          </cell>
          <cell r="K186">
            <v>0.27500000000000002</v>
          </cell>
          <cell r="L186">
            <v>360</v>
          </cell>
          <cell r="M186">
            <v>1800</v>
          </cell>
          <cell r="N186">
            <v>0.27500000000000002</v>
          </cell>
          <cell r="O186">
            <v>360</v>
          </cell>
          <cell r="P186">
            <v>1800</v>
          </cell>
          <cell r="Q186">
            <v>0.27500000000000002</v>
          </cell>
          <cell r="R186">
            <v>360</v>
          </cell>
          <cell r="S186">
            <v>1800</v>
          </cell>
          <cell r="T186">
            <v>0.27500000000000002</v>
          </cell>
          <cell r="U186">
            <v>360</v>
          </cell>
          <cell r="V186">
            <v>1800</v>
          </cell>
          <cell r="W186">
            <v>0.27500000000000002</v>
          </cell>
          <cell r="X186">
            <v>360</v>
          </cell>
          <cell r="Y186">
            <v>1800</v>
          </cell>
          <cell r="Z186">
            <v>0.27500000000000002</v>
          </cell>
          <cell r="AA186">
            <v>360</v>
          </cell>
          <cell r="AB186">
            <v>1800</v>
          </cell>
          <cell r="AC186">
            <v>0.27500000000000002</v>
          </cell>
          <cell r="AD186">
            <v>360</v>
          </cell>
          <cell r="AE186">
            <v>1800</v>
          </cell>
          <cell r="AF186">
            <v>0.27500000000000002</v>
          </cell>
          <cell r="AG186">
            <v>360</v>
          </cell>
          <cell r="AH186">
            <v>90</v>
          </cell>
        </row>
        <row r="187">
          <cell r="C187">
            <v>36951</v>
          </cell>
          <cell r="D187">
            <v>900</v>
          </cell>
          <cell r="E187">
            <v>0.15</v>
          </cell>
          <cell r="F187">
            <v>135</v>
          </cell>
          <cell r="G187">
            <v>1800</v>
          </cell>
          <cell r="H187">
            <v>0.27500000000000002</v>
          </cell>
          <cell r="I187">
            <v>360</v>
          </cell>
          <cell r="J187">
            <v>1800</v>
          </cell>
          <cell r="K187">
            <v>0.27500000000000002</v>
          </cell>
          <cell r="L187">
            <v>360</v>
          </cell>
          <cell r="M187">
            <v>1800</v>
          </cell>
          <cell r="N187">
            <v>0.27500000000000002</v>
          </cell>
          <cell r="O187">
            <v>360</v>
          </cell>
          <cell r="P187">
            <v>1800</v>
          </cell>
          <cell r="Q187">
            <v>0.27500000000000002</v>
          </cell>
          <cell r="R187">
            <v>360</v>
          </cell>
          <cell r="S187">
            <v>1800</v>
          </cell>
          <cell r="T187">
            <v>0.27500000000000002</v>
          </cell>
          <cell r="U187">
            <v>360</v>
          </cell>
          <cell r="V187">
            <v>1800</v>
          </cell>
          <cell r="W187">
            <v>0.27500000000000002</v>
          </cell>
          <cell r="X187">
            <v>360</v>
          </cell>
          <cell r="Y187">
            <v>1800</v>
          </cell>
          <cell r="Z187">
            <v>0.27500000000000002</v>
          </cell>
          <cell r="AA187">
            <v>360</v>
          </cell>
          <cell r="AB187">
            <v>1800</v>
          </cell>
          <cell r="AC187">
            <v>0.27500000000000002</v>
          </cell>
          <cell r="AD187">
            <v>360</v>
          </cell>
          <cell r="AE187">
            <v>1800</v>
          </cell>
          <cell r="AF187">
            <v>0.27500000000000002</v>
          </cell>
          <cell r="AG187">
            <v>360</v>
          </cell>
          <cell r="AH187">
            <v>90</v>
          </cell>
        </row>
        <row r="188">
          <cell r="C188">
            <v>36982</v>
          </cell>
          <cell r="D188">
            <v>900</v>
          </cell>
          <cell r="E188">
            <v>0.15</v>
          </cell>
          <cell r="F188">
            <v>135</v>
          </cell>
          <cell r="G188">
            <v>1800</v>
          </cell>
          <cell r="H188">
            <v>0.27500000000000002</v>
          </cell>
          <cell r="I188">
            <v>360</v>
          </cell>
          <cell r="J188">
            <v>1800</v>
          </cell>
          <cell r="K188">
            <v>0.27500000000000002</v>
          </cell>
          <cell r="L188">
            <v>360</v>
          </cell>
          <cell r="M188">
            <v>1800</v>
          </cell>
          <cell r="N188">
            <v>0.27500000000000002</v>
          </cell>
          <cell r="O188">
            <v>360</v>
          </cell>
          <cell r="P188">
            <v>1800</v>
          </cell>
          <cell r="Q188">
            <v>0.27500000000000002</v>
          </cell>
          <cell r="R188">
            <v>360</v>
          </cell>
          <cell r="S188">
            <v>1800</v>
          </cell>
          <cell r="T188">
            <v>0.27500000000000002</v>
          </cell>
          <cell r="U188">
            <v>360</v>
          </cell>
          <cell r="V188">
            <v>1800</v>
          </cell>
          <cell r="W188">
            <v>0.27500000000000002</v>
          </cell>
          <cell r="X188">
            <v>360</v>
          </cell>
          <cell r="Y188">
            <v>1800</v>
          </cell>
          <cell r="Z188">
            <v>0.27500000000000002</v>
          </cell>
          <cell r="AA188">
            <v>360</v>
          </cell>
          <cell r="AB188">
            <v>1800</v>
          </cell>
          <cell r="AC188">
            <v>0.27500000000000002</v>
          </cell>
          <cell r="AD188">
            <v>360</v>
          </cell>
          <cell r="AE188">
            <v>1800</v>
          </cell>
          <cell r="AF188">
            <v>0.27500000000000002</v>
          </cell>
          <cell r="AG188">
            <v>360</v>
          </cell>
          <cell r="AH188">
            <v>90</v>
          </cell>
        </row>
        <row r="189">
          <cell r="C189">
            <v>37012</v>
          </cell>
          <cell r="D189">
            <v>900</v>
          </cell>
          <cell r="E189">
            <v>0.15</v>
          </cell>
          <cell r="F189">
            <v>135</v>
          </cell>
          <cell r="G189">
            <v>1800</v>
          </cell>
          <cell r="H189">
            <v>0.27500000000000002</v>
          </cell>
          <cell r="I189">
            <v>360</v>
          </cell>
          <cell r="J189">
            <v>1800</v>
          </cell>
          <cell r="K189">
            <v>0.27500000000000002</v>
          </cell>
          <cell r="L189">
            <v>360</v>
          </cell>
          <cell r="M189">
            <v>1800</v>
          </cell>
          <cell r="N189">
            <v>0.27500000000000002</v>
          </cell>
          <cell r="O189">
            <v>360</v>
          </cell>
          <cell r="P189">
            <v>1800</v>
          </cell>
          <cell r="Q189">
            <v>0.27500000000000002</v>
          </cell>
          <cell r="R189">
            <v>360</v>
          </cell>
          <cell r="S189">
            <v>1800</v>
          </cell>
          <cell r="T189">
            <v>0.27500000000000002</v>
          </cell>
          <cell r="U189">
            <v>360</v>
          </cell>
          <cell r="V189">
            <v>1800</v>
          </cell>
          <cell r="W189">
            <v>0.27500000000000002</v>
          </cell>
          <cell r="X189">
            <v>360</v>
          </cell>
          <cell r="Y189">
            <v>1800</v>
          </cell>
          <cell r="Z189">
            <v>0.27500000000000002</v>
          </cell>
          <cell r="AA189">
            <v>360</v>
          </cell>
          <cell r="AB189">
            <v>1800</v>
          </cell>
          <cell r="AC189">
            <v>0.27500000000000002</v>
          </cell>
          <cell r="AD189">
            <v>360</v>
          </cell>
          <cell r="AE189">
            <v>1800</v>
          </cell>
          <cell r="AF189">
            <v>0.27500000000000002</v>
          </cell>
          <cell r="AG189">
            <v>360</v>
          </cell>
          <cell r="AH189">
            <v>90</v>
          </cell>
        </row>
        <row r="190">
          <cell r="C190">
            <v>37043</v>
          </cell>
          <cell r="D190">
            <v>900</v>
          </cell>
          <cell r="E190">
            <v>0.15</v>
          </cell>
          <cell r="F190">
            <v>135</v>
          </cell>
          <cell r="G190">
            <v>1800</v>
          </cell>
          <cell r="H190">
            <v>0.27500000000000002</v>
          </cell>
          <cell r="I190">
            <v>360</v>
          </cell>
          <cell r="J190">
            <v>1800</v>
          </cell>
          <cell r="K190">
            <v>0.27500000000000002</v>
          </cell>
          <cell r="L190">
            <v>360</v>
          </cell>
          <cell r="M190">
            <v>1800</v>
          </cell>
          <cell r="N190">
            <v>0.27500000000000002</v>
          </cell>
          <cell r="O190">
            <v>360</v>
          </cell>
          <cell r="P190">
            <v>1800</v>
          </cell>
          <cell r="Q190">
            <v>0.27500000000000002</v>
          </cell>
          <cell r="R190">
            <v>360</v>
          </cell>
          <cell r="S190">
            <v>1800</v>
          </cell>
          <cell r="T190">
            <v>0.27500000000000002</v>
          </cell>
          <cell r="U190">
            <v>360</v>
          </cell>
          <cell r="V190">
            <v>1800</v>
          </cell>
          <cell r="W190">
            <v>0.27500000000000002</v>
          </cell>
          <cell r="X190">
            <v>360</v>
          </cell>
          <cell r="Y190">
            <v>1800</v>
          </cell>
          <cell r="Z190">
            <v>0.27500000000000002</v>
          </cell>
          <cell r="AA190">
            <v>360</v>
          </cell>
          <cell r="AB190">
            <v>1800</v>
          </cell>
          <cell r="AC190">
            <v>0.27500000000000002</v>
          </cell>
          <cell r="AD190">
            <v>360</v>
          </cell>
          <cell r="AE190">
            <v>1800</v>
          </cell>
          <cell r="AF190">
            <v>0.27500000000000002</v>
          </cell>
          <cell r="AG190">
            <v>360</v>
          </cell>
          <cell r="AH190">
            <v>90</v>
          </cell>
        </row>
        <row r="191">
          <cell r="C191">
            <v>37073</v>
          </cell>
          <cell r="D191">
            <v>900</v>
          </cell>
          <cell r="E191">
            <v>0.15</v>
          </cell>
          <cell r="F191">
            <v>135</v>
          </cell>
          <cell r="G191">
            <v>1800</v>
          </cell>
          <cell r="H191">
            <v>0.27500000000000002</v>
          </cell>
          <cell r="I191">
            <v>360</v>
          </cell>
          <cell r="J191">
            <v>1800</v>
          </cell>
          <cell r="K191">
            <v>0.27500000000000002</v>
          </cell>
          <cell r="L191">
            <v>360</v>
          </cell>
          <cell r="M191">
            <v>1800</v>
          </cell>
          <cell r="N191">
            <v>0.27500000000000002</v>
          </cell>
          <cell r="O191">
            <v>360</v>
          </cell>
          <cell r="P191">
            <v>1800</v>
          </cell>
          <cell r="Q191">
            <v>0.27500000000000002</v>
          </cell>
          <cell r="R191">
            <v>360</v>
          </cell>
          <cell r="S191">
            <v>1800</v>
          </cell>
          <cell r="T191">
            <v>0.27500000000000002</v>
          </cell>
          <cell r="U191">
            <v>360</v>
          </cell>
          <cell r="V191">
            <v>1800</v>
          </cell>
          <cell r="W191">
            <v>0.27500000000000002</v>
          </cell>
          <cell r="X191">
            <v>360</v>
          </cell>
          <cell r="Y191">
            <v>1800</v>
          </cell>
          <cell r="Z191">
            <v>0.27500000000000002</v>
          </cell>
          <cell r="AA191">
            <v>360</v>
          </cell>
          <cell r="AB191">
            <v>1800</v>
          </cell>
          <cell r="AC191">
            <v>0.27500000000000002</v>
          </cell>
          <cell r="AD191">
            <v>360</v>
          </cell>
          <cell r="AE191">
            <v>1800</v>
          </cell>
          <cell r="AF191">
            <v>0.27500000000000002</v>
          </cell>
          <cell r="AG191">
            <v>360</v>
          </cell>
          <cell r="AH191">
            <v>90</v>
          </cell>
        </row>
        <row r="192">
          <cell r="C192">
            <v>37104</v>
          </cell>
          <cell r="D192">
            <v>900</v>
          </cell>
          <cell r="E192">
            <v>0.15</v>
          </cell>
          <cell r="F192">
            <v>135</v>
          </cell>
          <cell r="G192">
            <v>1800</v>
          </cell>
          <cell r="H192">
            <v>0.27500000000000002</v>
          </cell>
          <cell r="I192">
            <v>360</v>
          </cell>
          <cell r="J192">
            <v>1800</v>
          </cell>
          <cell r="K192">
            <v>0.27500000000000002</v>
          </cell>
          <cell r="L192">
            <v>360</v>
          </cell>
          <cell r="M192">
            <v>1800</v>
          </cell>
          <cell r="N192">
            <v>0.27500000000000002</v>
          </cell>
          <cell r="O192">
            <v>360</v>
          </cell>
          <cell r="P192">
            <v>1800</v>
          </cell>
          <cell r="Q192">
            <v>0.27500000000000002</v>
          </cell>
          <cell r="R192">
            <v>360</v>
          </cell>
          <cell r="S192">
            <v>1800</v>
          </cell>
          <cell r="T192">
            <v>0.27500000000000002</v>
          </cell>
          <cell r="U192">
            <v>360</v>
          </cell>
          <cell r="V192">
            <v>1800</v>
          </cell>
          <cell r="W192">
            <v>0.27500000000000002</v>
          </cell>
          <cell r="X192">
            <v>360</v>
          </cell>
          <cell r="Y192">
            <v>1800</v>
          </cell>
          <cell r="Z192">
            <v>0.27500000000000002</v>
          </cell>
          <cell r="AA192">
            <v>360</v>
          </cell>
          <cell r="AB192">
            <v>1800</v>
          </cell>
          <cell r="AC192">
            <v>0.27500000000000002</v>
          </cell>
          <cell r="AD192">
            <v>360</v>
          </cell>
          <cell r="AE192">
            <v>1800</v>
          </cell>
          <cell r="AF192">
            <v>0.27500000000000002</v>
          </cell>
          <cell r="AG192">
            <v>360</v>
          </cell>
          <cell r="AH192">
            <v>90</v>
          </cell>
        </row>
        <row r="193">
          <cell r="C193">
            <v>37135</v>
          </cell>
          <cell r="D193">
            <v>900</v>
          </cell>
          <cell r="E193">
            <v>0.15</v>
          </cell>
          <cell r="F193">
            <v>135</v>
          </cell>
          <cell r="G193">
            <v>1800</v>
          </cell>
          <cell r="H193">
            <v>0.27500000000000002</v>
          </cell>
          <cell r="I193">
            <v>360</v>
          </cell>
          <cell r="J193">
            <v>1800</v>
          </cell>
          <cell r="K193">
            <v>0.27500000000000002</v>
          </cell>
          <cell r="L193">
            <v>360</v>
          </cell>
          <cell r="M193">
            <v>1800</v>
          </cell>
          <cell r="N193">
            <v>0.27500000000000002</v>
          </cell>
          <cell r="O193">
            <v>360</v>
          </cell>
          <cell r="P193">
            <v>1800</v>
          </cell>
          <cell r="Q193">
            <v>0.27500000000000002</v>
          </cell>
          <cell r="R193">
            <v>360</v>
          </cell>
          <cell r="S193">
            <v>1800</v>
          </cell>
          <cell r="T193">
            <v>0.27500000000000002</v>
          </cell>
          <cell r="U193">
            <v>360</v>
          </cell>
          <cell r="V193">
            <v>1800</v>
          </cell>
          <cell r="W193">
            <v>0.27500000000000002</v>
          </cell>
          <cell r="X193">
            <v>360</v>
          </cell>
          <cell r="Y193">
            <v>1800</v>
          </cell>
          <cell r="Z193">
            <v>0.27500000000000002</v>
          </cell>
          <cell r="AA193">
            <v>360</v>
          </cell>
          <cell r="AB193">
            <v>1800</v>
          </cell>
          <cell r="AC193">
            <v>0.27500000000000002</v>
          </cell>
          <cell r="AD193">
            <v>360</v>
          </cell>
          <cell r="AE193">
            <v>1800</v>
          </cell>
          <cell r="AF193">
            <v>0.27500000000000002</v>
          </cell>
          <cell r="AG193">
            <v>360</v>
          </cell>
          <cell r="AH193">
            <v>90</v>
          </cell>
        </row>
        <row r="194">
          <cell r="C194">
            <v>37165</v>
          </cell>
          <cell r="D194">
            <v>900</v>
          </cell>
          <cell r="E194">
            <v>0.15</v>
          </cell>
          <cell r="F194">
            <v>135</v>
          </cell>
          <cell r="G194">
            <v>1800</v>
          </cell>
          <cell r="H194">
            <v>0.27500000000000002</v>
          </cell>
          <cell r="I194">
            <v>360</v>
          </cell>
          <cell r="J194">
            <v>1800</v>
          </cell>
          <cell r="K194">
            <v>0.27500000000000002</v>
          </cell>
          <cell r="L194">
            <v>360</v>
          </cell>
          <cell r="M194">
            <v>1800</v>
          </cell>
          <cell r="N194">
            <v>0.27500000000000002</v>
          </cell>
          <cell r="O194">
            <v>360</v>
          </cell>
          <cell r="P194">
            <v>1800</v>
          </cell>
          <cell r="Q194">
            <v>0.27500000000000002</v>
          </cell>
          <cell r="R194">
            <v>360</v>
          </cell>
          <cell r="S194">
            <v>1800</v>
          </cell>
          <cell r="T194">
            <v>0.27500000000000002</v>
          </cell>
          <cell r="U194">
            <v>360</v>
          </cell>
          <cell r="V194">
            <v>1800</v>
          </cell>
          <cell r="W194">
            <v>0.27500000000000002</v>
          </cell>
          <cell r="X194">
            <v>360</v>
          </cell>
          <cell r="Y194">
            <v>1800</v>
          </cell>
          <cell r="Z194">
            <v>0.27500000000000002</v>
          </cell>
          <cell r="AA194">
            <v>360</v>
          </cell>
          <cell r="AB194">
            <v>1800</v>
          </cell>
          <cell r="AC194">
            <v>0.27500000000000002</v>
          </cell>
          <cell r="AD194">
            <v>360</v>
          </cell>
          <cell r="AE194">
            <v>1800</v>
          </cell>
          <cell r="AF194">
            <v>0.27500000000000002</v>
          </cell>
          <cell r="AG194">
            <v>360</v>
          </cell>
          <cell r="AH194">
            <v>90</v>
          </cell>
        </row>
        <row r="195">
          <cell r="C195">
            <v>37196</v>
          </cell>
          <cell r="D195">
            <v>900</v>
          </cell>
          <cell r="E195">
            <v>0.15</v>
          </cell>
          <cell r="F195">
            <v>135</v>
          </cell>
          <cell r="G195">
            <v>1800</v>
          </cell>
          <cell r="H195">
            <v>0.27500000000000002</v>
          </cell>
          <cell r="I195">
            <v>360</v>
          </cell>
          <cell r="J195">
            <v>1800</v>
          </cell>
          <cell r="K195">
            <v>0.27500000000000002</v>
          </cell>
          <cell r="L195">
            <v>360</v>
          </cell>
          <cell r="M195">
            <v>1800</v>
          </cell>
          <cell r="N195">
            <v>0.27500000000000002</v>
          </cell>
          <cell r="O195">
            <v>360</v>
          </cell>
          <cell r="P195">
            <v>1800</v>
          </cell>
          <cell r="Q195">
            <v>0.27500000000000002</v>
          </cell>
          <cell r="R195">
            <v>360</v>
          </cell>
          <cell r="S195">
            <v>1800</v>
          </cell>
          <cell r="T195">
            <v>0.27500000000000002</v>
          </cell>
          <cell r="U195">
            <v>360</v>
          </cell>
          <cell r="V195">
            <v>1800</v>
          </cell>
          <cell r="W195">
            <v>0.27500000000000002</v>
          </cell>
          <cell r="X195">
            <v>360</v>
          </cell>
          <cell r="Y195">
            <v>1800</v>
          </cell>
          <cell r="Z195">
            <v>0.27500000000000002</v>
          </cell>
          <cell r="AA195">
            <v>360</v>
          </cell>
          <cell r="AB195">
            <v>1800</v>
          </cell>
          <cell r="AC195">
            <v>0.27500000000000002</v>
          </cell>
          <cell r="AD195">
            <v>360</v>
          </cell>
          <cell r="AE195">
            <v>1800</v>
          </cell>
          <cell r="AF195">
            <v>0.27500000000000002</v>
          </cell>
          <cell r="AG195">
            <v>360</v>
          </cell>
          <cell r="AH195">
            <v>90</v>
          </cell>
        </row>
        <row r="196">
          <cell r="C196">
            <v>37226</v>
          </cell>
          <cell r="D196">
            <v>900</v>
          </cell>
          <cell r="E196">
            <v>0.15</v>
          </cell>
          <cell r="F196">
            <v>135</v>
          </cell>
          <cell r="G196">
            <v>1800</v>
          </cell>
          <cell r="H196">
            <v>0.27500000000000002</v>
          </cell>
          <cell r="I196">
            <v>360</v>
          </cell>
          <cell r="J196">
            <v>1800</v>
          </cell>
          <cell r="K196">
            <v>0.27500000000000002</v>
          </cell>
          <cell r="L196">
            <v>360</v>
          </cell>
          <cell r="M196">
            <v>1800</v>
          </cell>
          <cell r="N196">
            <v>0.27500000000000002</v>
          </cell>
          <cell r="O196">
            <v>360</v>
          </cell>
          <cell r="P196">
            <v>1800</v>
          </cell>
          <cell r="Q196">
            <v>0.27500000000000002</v>
          </cell>
          <cell r="R196">
            <v>360</v>
          </cell>
          <cell r="S196">
            <v>1800</v>
          </cell>
          <cell r="T196">
            <v>0.27500000000000002</v>
          </cell>
          <cell r="U196">
            <v>360</v>
          </cell>
          <cell r="V196">
            <v>1800</v>
          </cell>
          <cell r="W196">
            <v>0.27500000000000002</v>
          </cell>
          <cell r="X196">
            <v>360</v>
          </cell>
          <cell r="Y196">
            <v>1800</v>
          </cell>
          <cell r="Z196">
            <v>0.27500000000000002</v>
          </cell>
          <cell r="AA196">
            <v>360</v>
          </cell>
          <cell r="AB196">
            <v>1800</v>
          </cell>
          <cell r="AC196">
            <v>0.27500000000000002</v>
          </cell>
          <cell r="AD196">
            <v>360</v>
          </cell>
          <cell r="AE196">
            <v>1800</v>
          </cell>
          <cell r="AF196">
            <v>0.27500000000000002</v>
          </cell>
          <cell r="AG196">
            <v>360</v>
          </cell>
          <cell r="AH196">
            <v>90</v>
          </cell>
        </row>
        <row r="197">
          <cell r="C197">
            <v>37257</v>
          </cell>
          <cell r="D197">
            <v>1058</v>
          </cell>
          <cell r="E197">
            <v>0.15</v>
          </cell>
          <cell r="F197">
            <v>158.69999999999999</v>
          </cell>
          <cell r="G197">
            <v>2115</v>
          </cell>
          <cell r="H197">
            <v>0.27500000000000002</v>
          </cell>
          <cell r="I197">
            <v>423.08</v>
          </cell>
          <cell r="J197">
            <v>2115</v>
          </cell>
          <cell r="K197">
            <v>0.27500000000000002</v>
          </cell>
          <cell r="L197">
            <v>423.08</v>
          </cell>
          <cell r="M197">
            <v>2115</v>
          </cell>
          <cell r="N197">
            <v>0.27500000000000002</v>
          </cell>
          <cell r="O197">
            <v>423.08</v>
          </cell>
          <cell r="P197">
            <v>2115</v>
          </cell>
          <cell r="Q197">
            <v>0.27500000000000002</v>
          </cell>
          <cell r="R197">
            <v>423.08</v>
          </cell>
          <cell r="S197">
            <v>2115</v>
          </cell>
          <cell r="T197">
            <v>0.27500000000000002</v>
          </cell>
          <cell r="U197">
            <v>423.08</v>
          </cell>
          <cell r="V197">
            <v>2115</v>
          </cell>
          <cell r="W197">
            <v>0.27500000000000002</v>
          </cell>
          <cell r="X197">
            <v>423.08</v>
          </cell>
          <cell r="Y197">
            <v>2115</v>
          </cell>
          <cell r="Z197">
            <v>0.27500000000000002</v>
          </cell>
          <cell r="AA197">
            <v>423.08</v>
          </cell>
          <cell r="AB197">
            <v>2115</v>
          </cell>
          <cell r="AC197">
            <v>0.27500000000000002</v>
          </cell>
          <cell r="AD197">
            <v>423.08</v>
          </cell>
          <cell r="AE197">
            <v>2115</v>
          </cell>
          <cell r="AF197">
            <v>0.27500000000000002</v>
          </cell>
          <cell r="AG197">
            <v>423.08</v>
          </cell>
          <cell r="AH197">
            <v>106</v>
          </cell>
        </row>
        <row r="198">
          <cell r="C198">
            <v>37288</v>
          </cell>
          <cell r="D198">
            <v>1058</v>
          </cell>
          <cell r="E198">
            <v>0.15</v>
          </cell>
          <cell r="F198">
            <v>158.69999999999999</v>
          </cell>
          <cell r="G198">
            <v>2115</v>
          </cell>
          <cell r="H198">
            <v>0.27500000000000002</v>
          </cell>
          <cell r="I198">
            <v>423.08</v>
          </cell>
          <cell r="J198">
            <v>2115</v>
          </cell>
          <cell r="K198">
            <v>0.27500000000000002</v>
          </cell>
          <cell r="L198">
            <v>423.08</v>
          </cell>
          <cell r="M198">
            <v>2115</v>
          </cell>
          <cell r="N198">
            <v>0.27500000000000002</v>
          </cell>
          <cell r="O198">
            <v>423.08</v>
          </cell>
          <cell r="P198">
            <v>2115</v>
          </cell>
          <cell r="Q198">
            <v>0.27500000000000002</v>
          </cell>
          <cell r="R198">
            <v>423.08</v>
          </cell>
          <cell r="S198">
            <v>2115</v>
          </cell>
          <cell r="T198">
            <v>0.27500000000000002</v>
          </cell>
          <cell r="U198">
            <v>423.08</v>
          </cell>
          <cell r="V198">
            <v>2115</v>
          </cell>
          <cell r="W198">
            <v>0.27500000000000002</v>
          </cell>
          <cell r="X198">
            <v>423.08</v>
          </cell>
          <cell r="Y198">
            <v>2115</v>
          </cell>
          <cell r="Z198">
            <v>0.27500000000000002</v>
          </cell>
          <cell r="AA198">
            <v>423.08</v>
          </cell>
          <cell r="AB198">
            <v>2115</v>
          </cell>
          <cell r="AC198">
            <v>0.27500000000000002</v>
          </cell>
          <cell r="AD198">
            <v>423.08</v>
          </cell>
          <cell r="AE198">
            <v>2115</v>
          </cell>
          <cell r="AF198">
            <v>0.27500000000000002</v>
          </cell>
          <cell r="AG198">
            <v>423.08</v>
          </cell>
          <cell r="AH198">
            <v>106</v>
          </cell>
        </row>
        <row r="199">
          <cell r="C199">
            <v>37316</v>
          </cell>
          <cell r="D199">
            <v>1058</v>
          </cell>
          <cell r="E199">
            <v>0.15</v>
          </cell>
          <cell r="F199">
            <v>158.69999999999999</v>
          </cell>
          <cell r="G199">
            <v>2115</v>
          </cell>
          <cell r="H199">
            <v>0.27500000000000002</v>
          </cell>
          <cell r="I199">
            <v>423.08</v>
          </cell>
          <cell r="J199">
            <v>2115</v>
          </cell>
          <cell r="K199">
            <v>0.27500000000000002</v>
          </cell>
          <cell r="L199">
            <v>423.08</v>
          </cell>
          <cell r="M199">
            <v>2115</v>
          </cell>
          <cell r="N199">
            <v>0.27500000000000002</v>
          </cell>
          <cell r="O199">
            <v>423.08</v>
          </cell>
          <cell r="P199">
            <v>2115</v>
          </cell>
          <cell r="Q199">
            <v>0.27500000000000002</v>
          </cell>
          <cell r="R199">
            <v>423.08</v>
          </cell>
          <cell r="S199">
            <v>2115</v>
          </cell>
          <cell r="T199">
            <v>0.27500000000000002</v>
          </cell>
          <cell r="U199">
            <v>423.08</v>
          </cell>
          <cell r="V199">
            <v>2115</v>
          </cell>
          <cell r="W199">
            <v>0.27500000000000002</v>
          </cell>
          <cell r="X199">
            <v>423.08</v>
          </cell>
          <cell r="Y199">
            <v>2115</v>
          </cell>
          <cell r="Z199">
            <v>0.27500000000000002</v>
          </cell>
          <cell r="AA199">
            <v>423.08</v>
          </cell>
          <cell r="AB199">
            <v>2115</v>
          </cell>
          <cell r="AC199">
            <v>0.27500000000000002</v>
          </cell>
          <cell r="AD199">
            <v>423.08</v>
          </cell>
          <cell r="AE199">
            <v>2115</v>
          </cell>
          <cell r="AF199">
            <v>0.27500000000000002</v>
          </cell>
          <cell r="AG199">
            <v>423.08</v>
          </cell>
          <cell r="AH199">
            <v>106</v>
          </cell>
        </row>
        <row r="200">
          <cell r="C200">
            <v>37347</v>
          </cell>
          <cell r="D200">
            <v>1058</v>
          </cell>
          <cell r="E200">
            <v>0.15</v>
          </cell>
          <cell r="F200">
            <v>158.69999999999999</v>
          </cell>
          <cell r="G200">
            <v>2115</v>
          </cell>
          <cell r="H200">
            <v>0.27500000000000002</v>
          </cell>
          <cell r="I200">
            <v>423.08</v>
          </cell>
          <cell r="J200">
            <v>2115</v>
          </cell>
          <cell r="K200">
            <v>0.27500000000000002</v>
          </cell>
          <cell r="L200">
            <v>423.08</v>
          </cell>
          <cell r="M200">
            <v>2115</v>
          </cell>
          <cell r="N200">
            <v>0.27500000000000002</v>
          </cell>
          <cell r="O200">
            <v>423.08</v>
          </cell>
          <cell r="P200">
            <v>2115</v>
          </cell>
          <cell r="Q200">
            <v>0.27500000000000002</v>
          </cell>
          <cell r="R200">
            <v>423.08</v>
          </cell>
          <cell r="S200">
            <v>2115</v>
          </cell>
          <cell r="T200">
            <v>0.27500000000000002</v>
          </cell>
          <cell r="U200">
            <v>423.08</v>
          </cell>
          <cell r="V200">
            <v>2115</v>
          </cell>
          <cell r="W200">
            <v>0.27500000000000002</v>
          </cell>
          <cell r="X200">
            <v>423.08</v>
          </cell>
          <cell r="Y200">
            <v>2115</v>
          </cell>
          <cell r="Z200">
            <v>0.27500000000000002</v>
          </cell>
          <cell r="AA200">
            <v>423.08</v>
          </cell>
          <cell r="AB200">
            <v>2115</v>
          </cell>
          <cell r="AC200">
            <v>0.27500000000000002</v>
          </cell>
          <cell r="AD200">
            <v>423.08</v>
          </cell>
          <cell r="AE200">
            <v>2115</v>
          </cell>
          <cell r="AF200">
            <v>0.27500000000000002</v>
          </cell>
          <cell r="AG200">
            <v>423.08</v>
          </cell>
          <cell r="AH200">
            <v>106</v>
          </cell>
        </row>
        <row r="201">
          <cell r="C201">
            <v>37377</v>
          </cell>
          <cell r="D201">
            <v>1058</v>
          </cell>
          <cell r="E201">
            <v>0.15</v>
          </cell>
          <cell r="F201">
            <v>158.69999999999999</v>
          </cell>
          <cell r="G201">
            <v>2115</v>
          </cell>
          <cell r="H201">
            <v>0.27500000000000002</v>
          </cell>
          <cell r="I201">
            <v>423.08</v>
          </cell>
          <cell r="J201">
            <v>2115</v>
          </cell>
          <cell r="K201">
            <v>0.27500000000000002</v>
          </cell>
          <cell r="L201">
            <v>423.08</v>
          </cell>
          <cell r="M201">
            <v>2115</v>
          </cell>
          <cell r="N201">
            <v>0.27500000000000002</v>
          </cell>
          <cell r="O201">
            <v>423.08</v>
          </cell>
          <cell r="P201">
            <v>2115</v>
          </cell>
          <cell r="Q201">
            <v>0.27500000000000002</v>
          </cell>
          <cell r="R201">
            <v>423.08</v>
          </cell>
          <cell r="S201">
            <v>2115</v>
          </cell>
          <cell r="T201">
            <v>0.27500000000000002</v>
          </cell>
          <cell r="U201">
            <v>423.08</v>
          </cell>
          <cell r="V201">
            <v>2115</v>
          </cell>
          <cell r="W201">
            <v>0.27500000000000002</v>
          </cell>
          <cell r="X201">
            <v>423.08</v>
          </cell>
          <cell r="Y201">
            <v>2115</v>
          </cell>
          <cell r="Z201">
            <v>0.27500000000000002</v>
          </cell>
          <cell r="AA201">
            <v>423.08</v>
          </cell>
          <cell r="AB201">
            <v>2115</v>
          </cell>
          <cell r="AC201">
            <v>0.27500000000000002</v>
          </cell>
          <cell r="AD201">
            <v>423.08</v>
          </cell>
          <cell r="AE201">
            <v>2115</v>
          </cell>
          <cell r="AF201">
            <v>0.27500000000000002</v>
          </cell>
          <cell r="AG201">
            <v>423.08</v>
          </cell>
          <cell r="AH201">
            <v>106</v>
          </cell>
        </row>
        <row r="202">
          <cell r="C202">
            <v>37408</v>
          </cell>
          <cell r="D202">
            <v>1058</v>
          </cell>
          <cell r="E202">
            <v>0.15</v>
          </cell>
          <cell r="F202">
            <v>158.69999999999999</v>
          </cell>
          <cell r="G202">
            <v>2115</v>
          </cell>
          <cell r="H202">
            <v>0.27500000000000002</v>
          </cell>
          <cell r="I202">
            <v>423.08</v>
          </cell>
          <cell r="J202">
            <v>2115</v>
          </cell>
          <cell r="K202">
            <v>0.27500000000000002</v>
          </cell>
          <cell r="L202">
            <v>423.08</v>
          </cell>
          <cell r="M202">
            <v>2115</v>
          </cell>
          <cell r="N202">
            <v>0.27500000000000002</v>
          </cell>
          <cell r="O202">
            <v>423.08</v>
          </cell>
          <cell r="P202">
            <v>2115</v>
          </cell>
          <cell r="Q202">
            <v>0.27500000000000002</v>
          </cell>
          <cell r="R202">
            <v>423.08</v>
          </cell>
          <cell r="S202">
            <v>2115</v>
          </cell>
          <cell r="T202">
            <v>0.27500000000000002</v>
          </cell>
          <cell r="U202">
            <v>423.08</v>
          </cell>
          <cell r="V202">
            <v>2115</v>
          </cell>
          <cell r="W202">
            <v>0.27500000000000002</v>
          </cell>
          <cell r="X202">
            <v>423.08</v>
          </cell>
          <cell r="Y202">
            <v>2115</v>
          </cell>
          <cell r="Z202">
            <v>0.27500000000000002</v>
          </cell>
          <cell r="AA202">
            <v>423.08</v>
          </cell>
          <cell r="AB202">
            <v>2115</v>
          </cell>
          <cell r="AC202">
            <v>0.27500000000000002</v>
          </cell>
          <cell r="AD202">
            <v>423.08</v>
          </cell>
          <cell r="AE202">
            <v>2115</v>
          </cell>
          <cell r="AF202">
            <v>0.27500000000000002</v>
          </cell>
          <cell r="AG202">
            <v>423.08</v>
          </cell>
          <cell r="AH202">
            <v>106</v>
          </cell>
        </row>
        <row r="203">
          <cell r="C203">
            <v>37438</v>
          </cell>
          <cell r="D203">
            <v>1058</v>
          </cell>
          <cell r="E203">
            <v>0.15</v>
          </cell>
          <cell r="F203">
            <v>158.69999999999999</v>
          </cell>
          <cell r="G203">
            <v>2115</v>
          </cell>
          <cell r="H203">
            <v>0.27500000000000002</v>
          </cell>
          <cell r="I203">
            <v>423.08</v>
          </cell>
          <cell r="J203">
            <v>2115</v>
          </cell>
          <cell r="K203">
            <v>0.27500000000000002</v>
          </cell>
          <cell r="L203">
            <v>423.08</v>
          </cell>
          <cell r="M203">
            <v>2115</v>
          </cell>
          <cell r="N203">
            <v>0.27500000000000002</v>
          </cell>
          <cell r="O203">
            <v>423.08</v>
          </cell>
          <cell r="P203">
            <v>2115</v>
          </cell>
          <cell r="Q203">
            <v>0.27500000000000002</v>
          </cell>
          <cell r="R203">
            <v>423.08</v>
          </cell>
          <cell r="S203">
            <v>2115</v>
          </cell>
          <cell r="T203">
            <v>0.27500000000000002</v>
          </cell>
          <cell r="U203">
            <v>423.08</v>
          </cell>
          <cell r="V203">
            <v>2115</v>
          </cell>
          <cell r="W203">
            <v>0.27500000000000002</v>
          </cell>
          <cell r="X203">
            <v>423.08</v>
          </cell>
          <cell r="Y203">
            <v>2115</v>
          </cell>
          <cell r="Z203">
            <v>0.27500000000000002</v>
          </cell>
          <cell r="AA203">
            <v>423.08</v>
          </cell>
          <cell r="AB203">
            <v>2115</v>
          </cell>
          <cell r="AC203">
            <v>0.27500000000000002</v>
          </cell>
          <cell r="AD203">
            <v>423.08</v>
          </cell>
          <cell r="AE203">
            <v>2115</v>
          </cell>
          <cell r="AF203">
            <v>0.27500000000000002</v>
          </cell>
          <cell r="AG203">
            <v>423.08</v>
          </cell>
          <cell r="AH203">
            <v>106</v>
          </cell>
        </row>
        <row r="204">
          <cell r="C204">
            <v>37469</v>
          </cell>
          <cell r="D204">
            <v>1058</v>
          </cell>
          <cell r="E204">
            <v>0.15</v>
          </cell>
          <cell r="F204">
            <v>158.69999999999999</v>
          </cell>
          <cell r="G204">
            <v>2115</v>
          </cell>
          <cell r="H204">
            <v>0.27500000000000002</v>
          </cell>
          <cell r="I204">
            <v>423.08</v>
          </cell>
          <cell r="J204">
            <v>2115</v>
          </cell>
          <cell r="K204">
            <v>0.27500000000000002</v>
          </cell>
          <cell r="L204">
            <v>423.08</v>
          </cell>
          <cell r="M204">
            <v>2115</v>
          </cell>
          <cell r="N204">
            <v>0.27500000000000002</v>
          </cell>
          <cell r="O204">
            <v>423.08</v>
          </cell>
          <cell r="P204">
            <v>2115</v>
          </cell>
          <cell r="Q204">
            <v>0.27500000000000002</v>
          </cell>
          <cell r="R204">
            <v>423.08</v>
          </cell>
          <cell r="S204">
            <v>2115</v>
          </cell>
          <cell r="T204">
            <v>0.27500000000000002</v>
          </cell>
          <cell r="U204">
            <v>423.08</v>
          </cell>
          <cell r="V204">
            <v>2115</v>
          </cell>
          <cell r="W204">
            <v>0.27500000000000002</v>
          </cell>
          <cell r="X204">
            <v>423.08</v>
          </cell>
          <cell r="Y204">
            <v>2115</v>
          </cell>
          <cell r="Z204">
            <v>0.27500000000000002</v>
          </cell>
          <cell r="AA204">
            <v>423.08</v>
          </cell>
          <cell r="AB204">
            <v>2115</v>
          </cell>
          <cell r="AC204">
            <v>0.27500000000000002</v>
          </cell>
          <cell r="AD204">
            <v>423.08</v>
          </cell>
          <cell r="AE204">
            <v>2115</v>
          </cell>
          <cell r="AF204">
            <v>0.27500000000000002</v>
          </cell>
          <cell r="AG204">
            <v>423.08</v>
          </cell>
          <cell r="AH204">
            <v>106</v>
          </cell>
        </row>
        <row r="205">
          <cell r="C205">
            <v>37500</v>
          </cell>
          <cell r="D205">
            <v>1058</v>
          </cell>
          <cell r="E205">
            <v>0.15</v>
          </cell>
          <cell r="F205">
            <v>158.69999999999999</v>
          </cell>
          <cell r="G205">
            <v>2115</v>
          </cell>
          <cell r="H205">
            <v>0.27500000000000002</v>
          </cell>
          <cell r="I205">
            <v>423.08</v>
          </cell>
          <cell r="J205">
            <v>2115</v>
          </cell>
          <cell r="K205">
            <v>0.27500000000000002</v>
          </cell>
          <cell r="L205">
            <v>423.08</v>
          </cell>
          <cell r="M205">
            <v>2115</v>
          </cell>
          <cell r="N205">
            <v>0.27500000000000002</v>
          </cell>
          <cell r="O205">
            <v>423.08</v>
          </cell>
          <cell r="P205">
            <v>2115</v>
          </cell>
          <cell r="Q205">
            <v>0.27500000000000002</v>
          </cell>
          <cell r="R205">
            <v>423.08</v>
          </cell>
          <cell r="S205">
            <v>2115</v>
          </cell>
          <cell r="T205">
            <v>0.27500000000000002</v>
          </cell>
          <cell r="U205">
            <v>423.08</v>
          </cell>
          <cell r="V205">
            <v>2115</v>
          </cell>
          <cell r="W205">
            <v>0.27500000000000002</v>
          </cell>
          <cell r="X205">
            <v>423.08</v>
          </cell>
          <cell r="Y205">
            <v>2115</v>
          </cell>
          <cell r="Z205">
            <v>0.27500000000000002</v>
          </cell>
          <cell r="AA205">
            <v>423.08</v>
          </cell>
          <cell r="AB205">
            <v>2115</v>
          </cell>
          <cell r="AC205">
            <v>0.27500000000000002</v>
          </cell>
          <cell r="AD205">
            <v>423.08</v>
          </cell>
          <cell r="AE205">
            <v>2115</v>
          </cell>
          <cell r="AF205">
            <v>0.27500000000000002</v>
          </cell>
          <cell r="AG205">
            <v>423.08</v>
          </cell>
          <cell r="AH205">
            <v>106</v>
          </cell>
        </row>
        <row r="206">
          <cell r="C206">
            <v>37530</v>
          </cell>
          <cell r="D206">
            <v>1058</v>
          </cell>
          <cell r="E206">
            <v>0.15</v>
          </cell>
          <cell r="F206">
            <v>158.69999999999999</v>
          </cell>
          <cell r="G206">
            <v>2115</v>
          </cell>
          <cell r="H206">
            <v>0.27500000000000002</v>
          </cell>
          <cell r="I206">
            <v>423.08</v>
          </cell>
          <cell r="J206">
            <v>2115</v>
          </cell>
          <cell r="K206">
            <v>0.27500000000000002</v>
          </cell>
          <cell r="L206">
            <v>423.08</v>
          </cell>
          <cell r="M206">
            <v>2115</v>
          </cell>
          <cell r="N206">
            <v>0.27500000000000002</v>
          </cell>
          <cell r="O206">
            <v>423.08</v>
          </cell>
          <cell r="P206">
            <v>2115</v>
          </cell>
          <cell r="Q206">
            <v>0.27500000000000002</v>
          </cell>
          <cell r="R206">
            <v>423.08</v>
          </cell>
          <cell r="S206">
            <v>2115</v>
          </cell>
          <cell r="T206">
            <v>0.27500000000000002</v>
          </cell>
          <cell r="U206">
            <v>423.08</v>
          </cell>
          <cell r="V206">
            <v>2115</v>
          </cell>
          <cell r="W206">
            <v>0.27500000000000002</v>
          </cell>
          <cell r="X206">
            <v>423.08</v>
          </cell>
          <cell r="Y206">
            <v>2115</v>
          </cell>
          <cell r="Z206">
            <v>0.27500000000000002</v>
          </cell>
          <cell r="AA206">
            <v>423.08</v>
          </cell>
          <cell r="AB206">
            <v>2115</v>
          </cell>
          <cell r="AC206">
            <v>0.27500000000000002</v>
          </cell>
          <cell r="AD206">
            <v>423.08</v>
          </cell>
          <cell r="AE206">
            <v>2115</v>
          </cell>
          <cell r="AF206">
            <v>0.27500000000000002</v>
          </cell>
          <cell r="AG206">
            <v>423.08</v>
          </cell>
          <cell r="AH206">
            <v>106</v>
          </cell>
        </row>
        <row r="207">
          <cell r="C207">
            <v>37561</v>
          </cell>
          <cell r="D207">
            <v>1058</v>
          </cell>
          <cell r="E207">
            <v>0.15</v>
          </cell>
          <cell r="F207">
            <v>158.69999999999999</v>
          </cell>
          <cell r="G207">
            <v>2115</v>
          </cell>
          <cell r="H207">
            <v>0.27500000000000002</v>
          </cell>
          <cell r="I207">
            <v>423.08</v>
          </cell>
          <cell r="J207">
            <v>2115</v>
          </cell>
          <cell r="K207">
            <v>0.27500000000000002</v>
          </cell>
          <cell r="L207">
            <v>423.08</v>
          </cell>
          <cell r="M207">
            <v>2115</v>
          </cell>
          <cell r="N207">
            <v>0.27500000000000002</v>
          </cell>
          <cell r="O207">
            <v>423.08</v>
          </cell>
          <cell r="P207">
            <v>2115</v>
          </cell>
          <cell r="Q207">
            <v>0.27500000000000002</v>
          </cell>
          <cell r="R207">
            <v>423.08</v>
          </cell>
          <cell r="S207">
            <v>2115</v>
          </cell>
          <cell r="T207">
            <v>0.27500000000000002</v>
          </cell>
          <cell r="U207">
            <v>423.08</v>
          </cell>
          <cell r="V207">
            <v>2115</v>
          </cell>
          <cell r="W207">
            <v>0.27500000000000002</v>
          </cell>
          <cell r="X207">
            <v>423.08</v>
          </cell>
          <cell r="Y207">
            <v>2115</v>
          </cell>
          <cell r="Z207">
            <v>0.27500000000000002</v>
          </cell>
          <cell r="AA207">
            <v>423.08</v>
          </cell>
          <cell r="AB207">
            <v>2115</v>
          </cell>
          <cell r="AC207">
            <v>0.27500000000000002</v>
          </cell>
          <cell r="AD207">
            <v>423.08</v>
          </cell>
          <cell r="AE207">
            <v>2115</v>
          </cell>
          <cell r="AF207">
            <v>0.27500000000000002</v>
          </cell>
          <cell r="AG207">
            <v>423.08</v>
          </cell>
          <cell r="AH207">
            <v>106</v>
          </cell>
        </row>
        <row r="208">
          <cell r="C208">
            <v>37591</v>
          </cell>
          <cell r="D208">
            <v>1058</v>
          </cell>
          <cell r="E208">
            <v>0.15</v>
          </cell>
          <cell r="F208">
            <v>158.69999999999999</v>
          </cell>
          <cell r="G208">
            <v>2115</v>
          </cell>
          <cell r="H208">
            <v>0.27500000000000002</v>
          </cell>
          <cell r="I208">
            <v>423.08</v>
          </cell>
          <cell r="J208">
            <v>2115</v>
          </cell>
          <cell r="K208">
            <v>0.27500000000000002</v>
          </cell>
          <cell r="L208">
            <v>423.08</v>
          </cell>
          <cell r="M208">
            <v>2115</v>
          </cell>
          <cell r="N208">
            <v>0.27500000000000002</v>
          </cell>
          <cell r="O208">
            <v>423.08</v>
          </cell>
          <cell r="P208">
            <v>2115</v>
          </cell>
          <cell r="Q208">
            <v>0.27500000000000002</v>
          </cell>
          <cell r="R208">
            <v>423.08</v>
          </cell>
          <cell r="S208">
            <v>2115</v>
          </cell>
          <cell r="T208">
            <v>0.27500000000000002</v>
          </cell>
          <cell r="U208">
            <v>423.08</v>
          </cell>
          <cell r="V208">
            <v>2115</v>
          </cell>
          <cell r="W208">
            <v>0.27500000000000002</v>
          </cell>
          <cell r="X208">
            <v>423.08</v>
          </cell>
          <cell r="Y208">
            <v>2115</v>
          </cell>
          <cell r="Z208">
            <v>0.27500000000000002</v>
          </cell>
          <cell r="AA208">
            <v>423.08</v>
          </cell>
          <cell r="AB208">
            <v>2115</v>
          </cell>
          <cell r="AC208">
            <v>0.27500000000000002</v>
          </cell>
          <cell r="AD208">
            <v>423.08</v>
          </cell>
          <cell r="AE208">
            <v>2115</v>
          </cell>
          <cell r="AF208">
            <v>0.27500000000000002</v>
          </cell>
          <cell r="AG208">
            <v>423.08</v>
          </cell>
          <cell r="AH208">
            <v>106</v>
          </cell>
        </row>
        <row r="209">
          <cell r="C209">
            <v>37622</v>
          </cell>
          <cell r="D209">
            <v>1058</v>
          </cell>
          <cell r="E209">
            <v>0.15</v>
          </cell>
          <cell r="F209">
            <v>158.69999999999999</v>
          </cell>
          <cell r="G209">
            <v>2115</v>
          </cell>
          <cell r="H209">
            <v>0.27500000000000002</v>
          </cell>
          <cell r="I209">
            <v>423.08</v>
          </cell>
          <cell r="J209">
            <v>2115</v>
          </cell>
          <cell r="K209">
            <v>0.27500000000000002</v>
          </cell>
          <cell r="L209">
            <v>423.08</v>
          </cell>
          <cell r="M209">
            <v>2115</v>
          </cell>
          <cell r="N209">
            <v>0.27500000000000002</v>
          </cell>
          <cell r="O209">
            <v>423.08</v>
          </cell>
          <cell r="P209">
            <v>2115</v>
          </cell>
          <cell r="Q209">
            <v>0.27500000000000002</v>
          </cell>
          <cell r="R209">
            <v>423.08</v>
          </cell>
          <cell r="S209">
            <v>2115</v>
          </cell>
          <cell r="T209">
            <v>0.27500000000000002</v>
          </cell>
          <cell r="U209">
            <v>423.08</v>
          </cell>
          <cell r="V209">
            <v>2115</v>
          </cell>
          <cell r="W209">
            <v>0.27500000000000002</v>
          </cell>
          <cell r="X209">
            <v>423.08</v>
          </cell>
          <cell r="Y209">
            <v>2115</v>
          </cell>
          <cell r="Z209">
            <v>0.27500000000000002</v>
          </cell>
          <cell r="AA209">
            <v>423.08</v>
          </cell>
          <cell r="AB209">
            <v>2115</v>
          </cell>
          <cell r="AC209">
            <v>0.27500000000000002</v>
          </cell>
          <cell r="AD209">
            <v>423.08</v>
          </cell>
          <cell r="AE209">
            <v>2115</v>
          </cell>
          <cell r="AF209">
            <v>0.27500000000000002</v>
          </cell>
          <cell r="AG209">
            <v>423.08</v>
          </cell>
          <cell r="AH209">
            <v>106</v>
          </cell>
        </row>
        <row r="210">
          <cell r="C210">
            <v>37653</v>
          </cell>
          <cell r="D210">
            <v>1058</v>
          </cell>
          <cell r="E210">
            <v>0.15</v>
          </cell>
          <cell r="F210">
            <v>158.69999999999999</v>
          </cell>
          <cell r="G210">
            <v>2115</v>
          </cell>
          <cell r="H210">
            <v>0.27500000000000002</v>
          </cell>
          <cell r="I210">
            <v>423.08</v>
          </cell>
          <cell r="J210">
            <v>2115</v>
          </cell>
          <cell r="K210">
            <v>0.27500000000000002</v>
          </cell>
          <cell r="L210">
            <v>423.08</v>
          </cell>
          <cell r="M210">
            <v>2115</v>
          </cell>
          <cell r="N210">
            <v>0.27500000000000002</v>
          </cell>
          <cell r="O210">
            <v>423.08</v>
          </cell>
          <cell r="P210">
            <v>2115</v>
          </cell>
          <cell r="Q210">
            <v>0.27500000000000002</v>
          </cell>
          <cell r="R210">
            <v>423.08</v>
          </cell>
          <cell r="S210">
            <v>2115</v>
          </cell>
          <cell r="T210">
            <v>0.27500000000000002</v>
          </cell>
          <cell r="U210">
            <v>423.08</v>
          </cell>
          <cell r="V210">
            <v>2115</v>
          </cell>
          <cell r="W210">
            <v>0.27500000000000002</v>
          </cell>
          <cell r="X210">
            <v>423.08</v>
          </cell>
          <cell r="Y210">
            <v>2115</v>
          </cell>
          <cell r="Z210">
            <v>0.27500000000000002</v>
          </cell>
          <cell r="AA210">
            <v>423.08</v>
          </cell>
          <cell r="AB210">
            <v>2115</v>
          </cell>
          <cell r="AC210">
            <v>0.27500000000000002</v>
          </cell>
          <cell r="AD210">
            <v>423.08</v>
          </cell>
          <cell r="AE210">
            <v>2115</v>
          </cell>
          <cell r="AF210">
            <v>0.27500000000000002</v>
          </cell>
          <cell r="AG210">
            <v>423.08</v>
          </cell>
          <cell r="AH210">
            <v>106</v>
          </cell>
        </row>
        <row r="211">
          <cell r="C211">
            <v>37681</v>
          </cell>
          <cell r="D211">
            <v>1058</v>
          </cell>
          <cell r="E211">
            <v>0.15</v>
          </cell>
          <cell r="F211">
            <v>158.69999999999999</v>
          </cell>
          <cell r="G211">
            <v>2115</v>
          </cell>
          <cell r="H211">
            <v>0.27500000000000002</v>
          </cell>
          <cell r="I211">
            <v>423.08</v>
          </cell>
          <cell r="J211">
            <v>2115</v>
          </cell>
          <cell r="K211">
            <v>0.27500000000000002</v>
          </cell>
          <cell r="L211">
            <v>423.08</v>
          </cell>
          <cell r="M211">
            <v>2115</v>
          </cell>
          <cell r="N211">
            <v>0.27500000000000002</v>
          </cell>
          <cell r="O211">
            <v>423.08</v>
          </cell>
          <cell r="P211">
            <v>2115</v>
          </cell>
          <cell r="Q211">
            <v>0.27500000000000002</v>
          </cell>
          <cell r="R211">
            <v>423.08</v>
          </cell>
          <cell r="S211">
            <v>2115</v>
          </cell>
          <cell r="T211">
            <v>0.27500000000000002</v>
          </cell>
          <cell r="U211">
            <v>423.08</v>
          </cell>
          <cell r="V211">
            <v>2115</v>
          </cell>
          <cell r="W211">
            <v>0.27500000000000002</v>
          </cell>
          <cell r="X211">
            <v>423.08</v>
          </cell>
          <cell r="Y211">
            <v>2115</v>
          </cell>
          <cell r="Z211">
            <v>0.27500000000000002</v>
          </cell>
          <cell r="AA211">
            <v>423.08</v>
          </cell>
          <cell r="AB211">
            <v>2115</v>
          </cell>
          <cell r="AC211">
            <v>0.27500000000000002</v>
          </cell>
          <cell r="AD211">
            <v>423.08</v>
          </cell>
          <cell r="AE211">
            <v>2115</v>
          </cell>
          <cell r="AF211">
            <v>0.27500000000000002</v>
          </cell>
          <cell r="AG211">
            <v>423.08</v>
          </cell>
          <cell r="AH211">
            <v>106</v>
          </cell>
        </row>
        <row r="212">
          <cell r="C212">
            <v>37712</v>
          </cell>
          <cell r="D212">
            <v>1058</v>
          </cell>
          <cell r="E212">
            <v>0.15</v>
          </cell>
          <cell r="F212">
            <v>158.69999999999999</v>
          </cell>
          <cell r="G212">
            <v>2115</v>
          </cell>
          <cell r="H212">
            <v>0.27500000000000002</v>
          </cell>
          <cell r="I212">
            <v>423.08</v>
          </cell>
          <cell r="J212">
            <v>2115</v>
          </cell>
          <cell r="K212">
            <v>0.27500000000000002</v>
          </cell>
          <cell r="L212">
            <v>423.08</v>
          </cell>
          <cell r="M212">
            <v>2115</v>
          </cell>
          <cell r="N212">
            <v>0.27500000000000002</v>
          </cell>
          <cell r="O212">
            <v>423.08</v>
          </cell>
          <cell r="P212">
            <v>2115</v>
          </cell>
          <cell r="Q212">
            <v>0.27500000000000002</v>
          </cell>
          <cell r="R212">
            <v>423.08</v>
          </cell>
          <cell r="S212">
            <v>2115</v>
          </cell>
          <cell r="T212">
            <v>0.27500000000000002</v>
          </cell>
          <cell r="U212">
            <v>423.08</v>
          </cell>
          <cell r="V212">
            <v>2115</v>
          </cell>
          <cell r="W212">
            <v>0.27500000000000002</v>
          </cell>
          <cell r="X212">
            <v>423.08</v>
          </cell>
          <cell r="Y212">
            <v>2115</v>
          </cell>
          <cell r="Z212">
            <v>0.27500000000000002</v>
          </cell>
          <cell r="AA212">
            <v>423.08</v>
          </cell>
          <cell r="AB212">
            <v>2115</v>
          </cell>
          <cell r="AC212">
            <v>0.27500000000000002</v>
          </cell>
          <cell r="AD212">
            <v>423.08</v>
          </cell>
          <cell r="AE212">
            <v>2115</v>
          </cell>
          <cell r="AF212">
            <v>0.27500000000000002</v>
          </cell>
          <cell r="AG212">
            <v>423.08</v>
          </cell>
          <cell r="AH212">
            <v>106</v>
          </cell>
        </row>
        <row r="213">
          <cell r="C213">
            <v>37742</v>
          </cell>
          <cell r="D213">
            <v>1058</v>
          </cell>
          <cell r="E213">
            <v>0.15</v>
          </cell>
          <cell r="F213">
            <v>158.69999999999999</v>
          </cell>
          <cell r="G213">
            <v>2115</v>
          </cell>
          <cell r="H213">
            <v>0.27500000000000002</v>
          </cell>
          <cell r="I213">
            <v>423.08</v>
          </cell>
          <cell r="J213">
            <v>2115</v>
          </cell>
          <cell r="K213">
            <v>0.27500000000000002</v>
          </cell>
          <cell r="L213">
            <v>423.08</v>
          </cell>
          <cell r="M213">
            <v>2115</v>
          </cell>
          <cell r="N213">
            <v>0.27500000000000002</v>
          </cell>
          <cell r="O213">
            <v>423.08</v>
          </cell>
          <cell r="P213">
            <v>2115</v>
          </cell>
          <cell r="Q213">
            <v>0.27500000000000002</v>
          </cell>
          <cell r="R213">
            <v>423.08</v>
          </cell>
          <cell r="S213">
            <v>2115</v>
          </cell>
          <cell r="T213">
            <v>0.27500000000000002</v>
          </cell>
          <cell r="U213">
            <v>423.08</v>
          </cell>
          <cell r="V213">
            <v>2115</v>
          </cell>
          <cell r="W213">
            <v>0.27500000000000002</v>
          </cell>
          <cell r="X213">
            <v>423.08</v>
          </cell>
          <cell r="Y213">
            <v>2115</v>
          </cell>
          <cell r="Z213">
            <v>0.27500000000000002</v>
          </cell>
          <cell r="AA213">
            <v>423.08</v>
          </cell>
          <cell r="AB213">
            <v>2115</v>
          </cell>
          <cell r="AC213">
            <v>0.27500000000000002</v>
          </cell>
          <cell r="AD213">
            <v>423.08</v>
          </cell>
          <cell r="AE213">
            <v>2115</v>
          </cell>
          <cell r="AF213">
            <v>0.27500000000000002</v>
          </cell>
          <cell r="AG213">
            <v>423.08</v>
          </cell>
          <cell r="AH213">
            <v>106</v>
          </cell>
        </row>
        <row r="214">
          <cell r="C214">
            <v>37773</v>
          </cell>
          <cell r="D214">
            <v>1058</v>
          </cell>
          <cell r="E214">
            <v>0.15</v>
          </cell>
          <cell r="F214">
            <v>158.69999999999999</v>
          </cell>
          <cell r="G214">
            <v>2115</v>
          </cell>
          <cell r="H214">
            <v>0.27500000000000002</v>
          </cell>
          <cell r="I214">
            <v>423.08</v>
          </cell>
          <cell r="J214">
            <v>2115</v>
          </cell>
          <cell r="K214">
            <v>0.27500000000000002</v>
          </cell>
          <cell r="L214">
            <v>423.08</v>
          </cell>
          <cell r="M214">
            <v>2115</v>
          </cell>
          <cell r="N214">
            <v>0.27500000000000002</v>
          </cell>
          <cell r="O214">
            <v>423.08</v>
          </cell>
          <cell r="P214">
            <v>2115</v>
          </cell>
          <cell r="Q214">
            <v>0.27500000000000002</v>
          </cell>
          <cell r="R214">
            <v>423.08</v>
          </cell>
          <cell r="S214">
            <v>2115</v>
          </cell>
          <cell r="T214">
            <v>0.27500000000000002</v>
          </cell>
          <cell r="U214">
            <v>423.08</v>
          </cell>
          <cell r="V214">
            <v>2115</v>
          </cell>
          <cell r="W214">
            <v>0.27500000000000002</v>
          </cell>
          <cell r="X214">
            <v>423.08</v>
          </cell>
          <cell r="Y214">
            <v>2115</v>
          </cell>
          <cell r="Z214">
            <v>0.27500000000000002</v>
          </cell>
          <cell r="AA214">
            <v>423.08</v>
          </cell>
          <cell r="AB214">
            <v>2115</v>
          </cell>
          <cell r="AC214">
            <v>0.27500000000000002</v>
          </cell>
          <cell r="AD214">
            <v>423.08</v>
          </cell>
          <cell r="AE214">
            <v>2115</v>
          </cell>
          <cell r="AF214">
            <v>0.27500000000000002</v>
          </cell>
          <cell r="AG214">
            <v>423.08</v>
          </cell>
          <cell r="AH214">
            <v>106</v>
          </cell>
        </row>
        <row r="215">
          <cell r="C215">
            <v>37803</v>
          </cell>
          <cell r="D215">
            <v>1058</v>
          </cell>
          <cell r="E215">
            <v>0.15</v>
          </cell>
          <cell r="F215">
            <v>158.69999999999999</v>
          </cell>
          <cell r="G215">
            <v>2115</v>
          </cell>
          <cell r="H215">
            <v>0.27500000000000002</v>
          </cell>
          <cell r="I215">
            <v>423.08</v>
          </cell>
          <cell r="J215">
            <v>2115</v>
          </cell>
          <cell r="K215">
            <v>0.27500000000000002</v>
          </cell>
          <cell r="L215">
            <v>423.08</v>
          </cell>
          <cell r="M215">
            <v>2115</v>
          </cell>
          <cell r="N215">
            <v>0.27500000000000002</v>
          </cell>
          <cell r="O215">
            <v>423.08</v>
          </cell>
          <cell r="P215">
            <v>2115</v>
          </cell>
          <cell r="Q215">
            <v>0.27500000000000002</v>
          </cell>
          <cell r="R215">
            <v>423.08</v>
          </cell>
          <cell r="S215">
            <v>2115</v>
          </cell>
          <cell r="T215">
            <v>0.27500000000000002</v>
          </cell>
          <cell r="U215">
            <v>423.08</v>
          </cell>
          <cell r="V215">
            <v>2115</v>
          </cell>
          <cell r="W215">
            <v>0.27500000000000002</v>
          </cell>
          <cell r="X215">
            <v>423.08</v>
          </cell>
          <cell r="Y215">
            <v>2115</v>
          </cell>
          <cell r="Z215">
            <v>0.27500000000000002</v>
          </cell>
          <cell r="AA215">
            <v>423.08</v>
          </cell>
          <cell r="AB215">
            <v>2115</v>
          </cell>
          <cell r="AC215">
            <v>0.27500000000000002</v>
          </cell>
          <cell r="AD215">
            <v>423.08</v>
          </cell>
          <cell r="AE215">
            <v>2115</v>
          </cell>
          <cell r="AF215">
            <v>0.27500000000000002</v>
          </cell>
          <cell r="AG215">
            <v>423.08</v>
          </cell>
          <cell r="AH215">
            <v>106</v>
          </cell>
        </row>
        <row r="216">
          <cell r="C216">
            <v>37834</v>
          </cell>
          <cell r="D216">
            <v>1058</v>
          </cell>
          <cell r="E216">
            <v>0.15</v>
          </cell>
          <cell r="F216">
            <v>158.69999999999999</v>
          </cell>
          <cell r="G216">
            <v>2115</v>
          </cell>
          <cell r="H216">
            <v>0.27500000000000002</v>
          </cell>
          <cell r="I216">
            <v>423.08</v>
          </cell>
          <cell r="J216">
            <v>2115</v>
          </cell>
          <cell r="K216">
            <v>0.27500000000000002</v>
          </cell>
          <cell r="L216">
            <v>423.08</v>
          </cell>
          <cell r="M216">
            <v>2115</v>
          </cell>
          <cell r="N216">
            <v>0.27500000000000002</v>
          </cell>
          <cell r="O216">
            <v>423.08</v>
          </cell>
          <cell r="P216">
            <v>2115</v>
          </cell>
          <cell r="Q216">
            <v>0.27500000000000002</v>
          </cell>
          <cell r="R216">
            <v>423.08</v>
          </cell>
          <cell r="S216">
            <v>2115</v>
          </cell>
          <cell r="T216">
            <v>0.27500000000000002</v>
          </cell>
          <cell r="U216">
            <v>423.08</v>
          </cell>
          <cell r="V216">
            <v>2115</v>
          </cell>
          <cell r="W216">
            <v>0.27500000000000002</v>
          </cell>
          <cell r="X216">
            <v>423.08</v>
          </cell>
          <cell r="Y216">
            <v>2115</v>
          </cell>
          <cell r="Z216">
            <v>0.27500000000000002</v>
          </cell>
          <cell r="AA216">
            <v>423.08</v>
          </cell>
          <cell r="AB216">
            <v>2115</v>
          </cell>
          <cell r="AC216">
            <v>0.27500000000000002</v>
          </cell>
          <cell r="AD216">
            <v>423.08</v>
          </cell>
          <cell r="AE216">
            <v>2115</v>
          </cell>
          <cell r="AF216">
            <v>0.27500000000000002</v>
          </cell>
          <cell r="AG216">
            <v>423.08</v>
          </cell>
          <cell r="AH216">
            <v>106</v>
          </cell>
        </row>
        <row r="217">
          <cell r="C217">
            <v>37865</v>
          </cell>
          <cell r="D217">
            <v>1058</v>
          </cell>
          <cell r="E217">
            <v>0.15</v>
          </cell>
          <cell r="F217">
            <v>158.69999999999999</v>
          </cell>
          <cell r="G217">
            <v>2115</v>
          </cell>
          <cell r="H217">
            <v>0.27500000000000002</v>
          </cell>
          <cell r="I217">
            <v>423.08</v>
          </cell>
          <cell r="J217">
            <v>2115</v>
          </cell>
          <cell r="K217">
            <v>0.27500000000000002</v>
          </cell>
          <cell r="L217">
            <v>423.08</v>
          </cell>
          <cell r="M217">
            <v>2115</v>
          </cell>
          <cell r="N217">
            <v>0.27500000000000002</v>
          </cell>
          <cell r="O217">
            <v>423.08</v>
          </cell>
          <cell r="P217">
            <v>2115</v>
          </cell>
          <cell r="Q217">
            <v>0.27500000000000002</v>
          </cell>
          <cell r="R217">
            <v>423.08</v>
          </cell>
          <cell r="S217">
            <v>2115</v>
          </cell>
          <cell r="T217">
            <v>0.27500000000000002</v>
          </cell>
          <cell r="U217">
            <v>423.08</v>
          </cell>
          <cell r="V217">
            <v>2115</v>
          </cell>
          <cell r="W217">
            <v>0.27500000000000002</v>
          </cell>
          <cell r="X217">
            <v>423.08</v>
          </cell>
          <cell r="Y217">
            <v>2115</v>
          </cell>
          <cell r="Z217">
            <v>0.27500000000000002</v>
          </cell>
          <cell r="AA217">
            <v>423.08</v>
          </cell>
          <cell r="AB217">
            <v>2115</v>
          </cell>
          <cell r="AC217">
            <v>0.27500000000000002</v>
          </cell>
          <cell r="AD217">
            <v>423.08</v>
          </cell>
          <cell r="AE217">
            <v>2115</v>
          </cell>
          <cell r="AF217">
            <v>0.27500000000000002</v>
          </cell>
          <cell r="AG217">
            <v>423.08</v>
          </cell>
          <cell r="AH217">
            <v>106</v>
          </cell>
        </row>
        <row r="218">
          <cell r="C218">
            <v>37895</v>
          </cell>
          <cell r="D218">
            <v>1058</v>
          </cell>
          <cell r="E218">
            <v>0.15</v>
          </cell>
          <cell r="F218">
            <v>158.69999999999999</v>
          </cell>
          <cell r="G218">
            <v>2115</v>
          </cell>
          <cell r="H218">
            <v>0.27500000000000002</v>
          </cell>
          <cell r="I218">
            <v>423.08</v>
          </cell>
          <cell r="J218">
            <v>2115</v>
          </cell>
          <cell r="K218">
            <v>0.27500000000000002</v>
          </cell>
          <cell r="L218">
            <v>423.08</v>
          </cell>
          <cell r="M218">
            <v>2115</v>
          </cell>
          <cell r="N218">
            <v>0.27500000000000002</v>
          </cell>
          <cell r="O218">
            <v>423.08</v>
          </cell>
          <cell r="P218">
            <v>2115</v>
          </cell>
          <cell r="Q218">
            <v>0.27500000000000002</v>
          </cell>
          <cell r="R218">
            <v>423.08</v>
          </cell>
          <cell r="S218">
            <v>2115</v>
          </cell>
          <cell r="T218">
            <v>0.27500000000000002</v>
          </cell>
          <cell r="U218">
            <v>423.08</v>
          </cell>
          <cell r="V218">
            <v>2115</v>
          </cell>
          <cell r="W218">
            <v>0.27500000000000002</v>
          </cell>
          <cell r="X218">
            <v>423.08</v>
          </cell>
          <cell r="Y218">
            <v>2115</v>
          </cell>
          <cell r="Z218">
            <v>0.27500000000000002</v>
          </cell>
          <cell r="AA218">
            <v>423.08</v>
          </cell>
          <cell r="AB218">
            <v>2115</v>
          </cell>
          <cell r="AC218">
            <v>0.27500000000000002</v>
          </cell>
          <cell r="AD218">
            <v>423.08</v>
          </cell>
          <cell r="AE218">
            <v>2115</v>
          </cell>
          <cell r="AF218">
            <v>0.27500000000000002</v>
          </cell>
          <cell r="AG218">
            <v>423.08</v>
          </cell>
          <cell r="AH218">
            <v>106</v>
          </cell>
        </row>
        <row r="219">
          <cell r="C219">
            <v>37926</v>
          </cell>
          <cell r="D219">
            <v>1058</v>
          </cell>
          <cell r="E219">
            <v>0.15</v>
          </cell>
          <cell r="F219">
            <v>158.69999999999999</v>
          </cell>
          <cell r="G219">
            <v>2115</v>
          </cell>
          <cell r="H219">
            <v>0.27500000000000002</v>
          </cell>
          <cell r="I219">
            <v>423.08</v>
          </cell>
          <cell r="J219">
            <v>2115</v>
          </cell>
          <cell r="K219">
            <v>0.27500000000000002</v>
          </cell>
          <cell r="L219">
            <v>423.08</v>
          </cell>
          <cell r="M219">
            <v>2115</v>
          </cell>
          <cell r="N219">
            <v>0.27500000000000002</v>
          </cell>
          <cell r="O219">
            <v>423.08</v>
          </cell>
          <cell r="P219">
            <v>2115</v>
          </cell>
          <cell r="Q219">
            <v>0.27500000000000002</v>
          </cell>
          <cell r="R219">
            <v>423.08</v>
          </cell>
          <cell r="S219">
            <v>2115</v>
          </cell>
          <cell r="T219">
            <v>0.27500000000000002</v>
          </cell>
          <cell r="U219">
            <v>423.08</v>
          </cell>
          <cell r="V219">
            <v>2115</v>
          </cell>
          <cell r="W219">
            <v>0.27500000000000002</v>
          </cell>
          <cell r="X219">
            <v>423.08</v>
          </cell>
          <cell r="Y219">
            <v>2115</v>
          </cell>
          <cell r="Z219">
            <v>0.27500000000000002</v>
          </cell>
          <cell r="AA219">
            <v>423.08</v>
          </cell>
          <cell r="AB219">
            <v>2115</v>
          </cell>
          <cell r="AC219">
            <v>0.27500000000000002</v>
          </cell>
          <cell r="AD219">
            <v>423.08</v>
          </cell>
          <cell r="AE219">
            <v>2115</v>
          </cell>
          <cell r="AF219">
            <v>0.27500000000000002</v>
          </cell>
          <cell r="AG219">
            <v>423.08</v>
          </cell>
          <cell r="AH219">
            <v>106</v>
          </cell>
        </row>
        <row r="220">
          <cell r="C220">
            <v>37956</v>
          </cell>
          <cell r="D220">
            <v>1058</v>
          </cell>
          <cell r="E220">
            <v>0.15</v>
          </cell>
          <cell r="F220">
            <v>158.69999999999999</v>
          </cell>
          <cell r="G220">
            <v>2115</v>
          </cell>
          <cell r="H220">
            <v>0.27500000000000002</v>
          </cell>
          <cell r="I220">
            <v>423.08</v>
          </cell>
          <cell r="J220">
            <v>2115</v>
          </cell>
          <cell r="K220">
            <v>0.27500000000000002</v>
          </cell>
          <cell r="L220">
            <v>423.08</v>
          </cell>
          <cell r="M220">
            <v>2115</v>
          </cell>
          <cell r="N220">
            <v>0.27500000000000002</v>
          </cell>
          <cell r="O220">
            <v>423.08</v>
          </cell>
          <cell r="P220">
            <v>2115</v>
          </cell>
          <cell r="Q220">
            <v>0.27500000000000002</v>
          </cell>
          <cell r="R220">
            <v>423.08</v>
          </cell>
          <cell r="S220">
            <v>2115</v>
          </cell>
          <cell r="T220">
            <v>0.27500000000000002</v>
          </cell>
          <cell r="U220">
            <v>423.08</v>
          </cell>
          <cell r="V220">
            <v>2115</v>
          </cell>
          <cell r="W220">
            <v>0.27500000000000002</v>
          </cell>
          <cell r="X220">
            <v>423.08</v>
          </cell>
          <cell r="Y220">
            <v>2115</v>
          </cell>
          <cell r="Z220">
            <v>0.27500000000000002</v>
          </cell>
          <cell r="AA220">
            <v>423.08</v>
          </cell>
          <cell r="AB220">
            <v>2115</v>
          </cell>
          <cell r="AC220">
            <v>0.27500000000000002</v>
          </cell>
          <cell r="AD220">
            <v>423.08</v>
          </cell>
          <cell r="AE220">
            <v>2115</v>
          </cell>
          <cell r="AF220">
            <v>0.27500000000000002</v>
          </cell>
          <cell r="AG220">
            <v>423.08</v>
          </cell>
          <cell r="AH220">
            <v>106</v>
          </cell>
        </row>
        <row r="221">
          <cell r="C221">
            <v>37987</v>
          </cell>
          <cell r="D221">
            <v>1058</v>
          </cell>
          <cell r="E221">
            <v>0.15</v>
          </cell>
          <cell r="F221">
            <v>158.69999999999999</v>
          </cell>
          <cell r="G221">
            <v>2115</v>
          </cell>
          <cell r="H221">
            <v>0.27500000000000002</v>
          </cell>
          <cell r="I221">
            <v>423.08</v>
          </cell>
          <cell r="J221">
            <v>2115</v>
          </cell>
          <cell r="K221">
            <v>0.27500000000000002</v>
          </cell>
          <cell r="L221">
            <v>423.08</v>
          </cell>
          <cell r="M221">
            <v>2115</v>
          </cell>
          <cell r="N221">
            <v>0.27500000000000002</v>
          </cell>
          <cell r="O221">
            <v>423.08</v>
          </cell>
          <cell r="P221">
            <v>2115</v>
          </cell>
          <cell r="Q221">
            <v>0.27500000000000002</v>
          </cell>
          <cell r="R221">
            <v>423.08</v>
          </cell>
          <cell r="S221">
            <v>2115</v>
          </cell>
          <cell r="T221">
            <v>0.27500000000000002</v>
          </cell>
          <cell r="U221">
            <v>423.08</v>
          </cell>
          <cell r="V221">
            <v>2115</v>
          </cell>
          <cell r="W221">
            <v>0.27500000000000002</v>
          </cell>
          <cell r="X221">
            <v>423.08</v>
          </cell>
          <cell r="Y221">
            <v>2115</v>
          </cell>
          <cell r="Z221">
            <v>0.27500000000000002</v>
          </cell>
          <cell r="AA221">
            <v>423.08</v>
          </cell>
          <cell r="AB221">
            <v>2115</v>
          </cell>
          <cell r="AC221">
            <v>0.27500000000000002</v>
          </cell>
          <cell r="AD221">
            <v>423.08</v>
          </cell>
          <cell r="AE221">
            <v>2115</v>
          </cell>
          <cell r="AF221">
            <v>0.27500000000000002</v>
          </cell>
          <cell r="AG221">
            <v>423.08</v>
          </cell>
          <cell r="AH221">
            <v>106</v>
          </cell>
        </row>
        <row r="222">
          <cell r="C222">
            <v>38018</v>
          </cell>
          <cell r="D222">
            <v>1058</v>
          </cell>
          <cell r="E222">
            <v>0.15</v>
          </cell>
          <cell r="F222">
            <v>158.69999999999999</v>
          </cell>
          <cell r="G222">
            <v>2115</v>
          </cell>
          <cell r="H222">
            <v>0.27500000000000002</v>
          </cell>
          <cell r="I222">
            <v>423.08</v>
          </cell>
          <cell r="J222">
            <v>2115</v>
          </cell>
          <cell r="K222">
            <v>0.27500000000000002</v>
          </cell>
          <cell r="L222">
            <v>423.08</v>
          </cell>
          <cell r="M222">
            <v>2115</v>
          </cell>
          <cell r="N222">
            <v>0.27500000000000002</v>
          </cell>
          <cell r="O222">
            <v>423.08</v>
          </cell>
          <cell r="P222">
            <v>2115</v>
          </cell>
          <cell r="Q222">
            <v>0.27500000000000002</v>
          </cell>
          <cell r="R222">
            <v>423.08</v>
          </cell>
          <cell r="S222">
            <v>2115</v>
          </cell>
          <cell r="T222">
            <v>0.27500000000000002</v>
          </cell>
          <cell r="U222">
            <v>423.08</v>
          </cell>
          <cell r="V222">
            <v>2115</v>
          </cell>
          <cell r="W222">
            <v>0.27500000000000002</v>
          </cell>
          <cell r="X222">
            <v>423.08</v>
          </cell>
          <cell r="Y222">
            <v>2115</v>
          </cell>
          <cell r="Z222">
            <v>0.27500000000000002</v>
          </cell>
          <cell r="AA222">
            <v>423.08</v>
          </cell>
          <cell r="AB222">
            <v>2115</v>
          </cell>
          <cell r="AC222">
            <v>0.27500000000000002</v>
          </cell>
          <cell r="AD222">
            <v>423.08</v>
          </cell>
          <cell r="AE222">
            <v>2115</v>
          </cell>
          <cell r="AF222">
            <v>0.27500000000000002</v>
          </cell>
          <cell r="AG222">
            <v>423.08</v>
          </cell>
          <cell r="AH222">
            <v>106</v>
          </cell>
        </row>
        <row r="223">
          <cell r="C223">
            <v>38047</v>
          </cell>
          <cell r="D223">
            <v>1058</v>
          </cell>
          <cell r="E223">
            <v>0.15</v>
          </cell>
          <cell r="F223">
            <v>158.69999999999999</v>
          </cell>
          <cell r="G223">
            <v>2115</v>
          </cell>
          <cell r="H223">
            <v>0.27500000000000002</v>
          </cell>
          <cell r="I223">
            <v>423.08</v>
          </cell>
          <cell r="J223">
            <v>2115</v>
          </cell>
          <cell r="K223">
            <v>0.27500000000000002</v>
          </cell>
          <cell r="L223">
            <v>423.08</v>
          </cell>
          <cell r="M223">
            <v>2115</v>
          </cell>
          <cell r="N223">
            <v>0.27500000000000002</v>
          </cell>
          <cell r="O223">
            <v>423.08</v>
          </cell>
          <cell r="P223">
            <v>2115</v>
          </cell>
          <cell r="Q223">
            <v>0.27500000000000002</v>
          </cell>
          <cell r="R223">
            <v>423.08</v>
          </cell>
          <cell r="S223">
            <v>2115</v>
          </cell>
          <cell r="T223">
            <v>0.27500000000000002</v>
          </cell>
          <cell r="U223">
            <v>423.08</v>
          </cell>
          <cell r="V223">
            <v>2115</v>
          </cell>
          <cell r="W223">
            <v>0.27500000000000002</v>
          </cell>
          <cell r="X223">
            <v>423.08</v>
          </cell>
          <cell r="Y223">
            <v>2115</v>
          </cell>
          <cell r="Z223">
            <v>0.27500000000000002</v>
          </cell>
          <cell r="AA223">
            <v>423.08</v>
          </cell>
          <cell r="AB223">
            <v>2115</v>
          </cell>
          <cell r="AC223">
            <v>0.27500000000000002</v>
          </cell>
          <cell r="AD223">
            <v>423.08</v>
          </cell>
          <cell r="AE223">
            <v>2115</v>
          </cell>
          <cell r="AF223">
            <v>0.27500000000000002</v>
          </cell>
          <cell r="AG223">
            <v>423.08</v>
          </cell>
          <cell r="AH223">
            <v>106</v>
          </cell>
        </row>
        <row r="224">
          <cell r="C224">
            <v>38078</v>
          </cell>
          <cell r="D224">
            <v>1058</v>
          </cell>
          <cell r="E224">
            <v>0.15</v>
          </cell>
          <cell r="F224">
            <v>158.69999999999999</v>
          </cell>
          <cell r="G224">
            <v>2115</v>
          </cell>
          <cell r="H224">
            <v>0.27500000000000002</v>
          </cell>
          <cell r="I224">
            <v>423.08</v>
          </cell>
          <cell r="J224">
            <v>2115</v>
          </cell>
          <cell r="K224">
            <v>0.27500000000000002</v>
          </cell>
          <cell r="L224">
            <v>423.08</v>
          </cell>
          <cell r="M224">
            <v>2115</v>
          </cell>
          <cell r="N224">
            <v>0.27500000000000002</v>
          </cell>
          <cell r="O224">
            <v>423.08</v>
          </cell>
          <cell r="P224">
            <v>2115</v>
          </cell>
          <cell r="Q224">
            <v>0.27500000000000002</v>
          </cell>
          <cell r="R224">
            <v>423.08</v>
          </cell>
          <cell r="S224">
            <v>2115</v>
          </cell>
          <cell r="T224">
            <v>0.27500000000000002</v>
          </cell>
          <cell r="U224">
            <v>423.08</v>
          </cell>
          <cell r="V224">
            <v>2115</v>
          </cell>
          <cell r="W224">
            <v>0.27500000000000002</v>
          </cell>
          <cell r="X224">
            <v>423.08</v>
          </cell>
          <cell r="Y224">
            <v>2115</v>
          </cell>
          <cell r="Z224">
            <v>0.27500000000000002</v>
          </cell>
          <cell r="AA224">
            <v>423.08</v>
          </cell>
          <cell r="AB224">
            <v>2115</v>
          </cell>
          <cell r="AC224">
            <v>0.27500000000000002</v>
          </cell>
          <cell r="AD224">
            <v>423.08</v>
          </cell>
          <cell r="AE224">
            <v>2115</v>
          </cell>
          <cell r="AF224">
            <v>0.27500000000000002</v>
          </cell>
          <cell r="AG224">
            <v>423.08</v>
          </cell>
          <cell r="AH224">
            <v>106</v>
          </cell>
        </row>
        <row r="225">
          <cell r="C225">
            <v>38108</v>
          </cell>
          <cell r="D225">
            <v>1058</v>
          </cell>
          <cell r="E225">
            <v>0.15</v>
          </cell>
          <cell r="F225">
            <v>158.69999999999999</v>
          </cell>
          <cell r="G225">
            <v>2115</v>
          </cell>
          <cell r="H225">
            <v>0.27500000000000002</v>
          </cell>
          <cell r="I225">
            <v>423.08</v>
          </cell>
          <cell r="J225">
            <v>2115</v>
          </cell>
          <cell r="K225">
            <v>0.27500000000000002</v>
          </cell>
          <cell r="L225">
            <v>423.08</v>
          </cell>
          <cell r="M225">
            <v>2115</v>
          </cell>
          <cell r="N225">
            <v>0.27500000000000002</v>
          </cell>
          <cell r="O225">
            <v>423.08</v>
          </cell>
          <cell r="P225">
            <v>2115</v>
          </cell>
          <cell r="Q225">
            <v>0.27500000000000002</v>
          </cell>
          <cell r="R225">
            <v>423.08</v>
          </cell>
          <cell r="S225">
            <v>2115</v>
          </cell>
          <cell r="T225">
            <v>0.27500000000000002</v>
          </cell>
          <cell r="U225">
            <v>423.08</v>
          </cell>
          <cell r="V225">
            <v>2115</v>
          </cell>
          <cell r="W225">
            <v>0.27500000000000002</v>
          </cell>
          <cell r="X225">
            <v>423.08</v>
          </cell>
          <cell r="Y225">
            <v>2115</v>
          </cell>
          <cell r="Z225">
            <v>0.27500000000000002</v>
          </cell>
          <cell r="AA225">
            <v>423.08</v>
          </cell>
          <cell r="AB225">
            <v>2115</v>
          </cell>
          <cell r="AC225">
            <v>0.27500000000000002</v>
          </cell>
          <cell r="AD225">
            <v>423.08</v>
          </cell>
          <cell r="AE225">
            <v>2115</v>
          </cell>
          <cell r="AF225">
            <v>0.27500000000000002</v>
          </cell>
          <cell r="AG225">
            <v>423.08</v>
          </cell>
          <cell r="AH225">
            <v>106</v>
          </cell>
        </row>
        <row r="226">
          <cell r="C226">
            <v>38139</v>
          </cell>
          <cell r="D226">
            <v>1058</v>
          </cell>
          <cell r="E226">
            <v>0.15</v>
          </cell>
          <cell r="F226">
            <v>158.69999999999999</v>
          </cell>
          <cell r="G226">
            <v>2115</v>
          </cell>
          <cell r="H226">
            <v>0.27500000000000002</v>
          </cell>
          <cell r="I226">
            <v>423.08</v>
          </cell>
          <cell r="J226">
            <v>2115</v>
          </cell>
          <cell r="K226">
            <v>0.27500000000000002</v>
          </cell>
          <cell r="L226">
            <v>423.08</v>
          </cell>
          <cell r="M226">
            <v>2115</v>
          </cell>
          <cell r="N226">
            <v>0.27500000000000002</v>
          </cell>
          <cell r="O226">
            <v>423.08</v>
          </cell>
          <cell r="P226">
            <v>2115</v>
          </cell>
          <cell r="Q226">
            <v>0.27500000000000002</v>
          </cell>
          <cell r="R226">
            <v>423.08</v>
          </cell>
          <cell r="S226">
            <v>2115</v>
          </cell>
          <cell r="T226">
            <v>0.27500000000000002</v>
          </cell>
          <cell r="U226">
            <v>423.08</v>
          </cell>
          <cell r="V226">
            <v>2115</v>
          </cell>
          <cell r="W226">
            <v>0.27500000000000002</v>
          </cell>
          <cell r="X226">
            <v>423.08</v>
          </cell>
          <cell r="Y226">
            <v>2115</v>
          </cell>
          <cell r="Z226">
            <v>0.27500000000000002</v>
          </cell>
          <cell r="AA226">
            <v>423.08</v>
          </cell>
          <cell r="AB226">
            <v>2115</v>
          </cell>
          <cell r="AC226">
            <v>0.27500000000000002</v>
          </cell>
          <cell r="AD226">
            <v>423.08</v>
          </cell>
          <cell r="AE226">
            <v>2115</v>
          </cell>
          <cell r="AF226">
            <v>0.27500000000000002</v>
          </cell>
          <cell r="AG226">
            <v>423.08</v>
          </cell>
          <cell r="AH226">
            <v>106</v>
          </cell>
        </row>
        <row r="227">
          <cell r="C227">
            <v>38169</v>
          </cell>
          <cell r="D227">
            <v>1058</v>
          </cell>
          <cell r="E227">
            <v>0.15</v>
          </cell>
          <cell r="F227">
            <v>158.69999999999999</v>
          </cell>
          <cell r="G227">
            <v>2115</v>
          </cell>
          <cell r="H227">
            <v>0.27500000000000002</v>
          </cell>
          <cell r="I227">
            <v>423.08</v>
          </cell>
          <cell r="J227">
            <v>2115</v>
          </cell>
          <cell r="K227">
            <v>0.27500000000000002</v>
          </cell>
          <cell r="L227">
            <v>423.08</v>
          </cell>
          <cell r="M227">
            <v>2115</v>
          </cell>
          <cell r="N227">
            <v>0.27500000000000002</v>
          </cell>
          <cell r="O227">
            <v>423.08</v>
          </cell>
          <cell r="P227">
            <v>2115</v>
          </cell>
          <cell r="Q227">
            <v>0.27500000000000002</v>
          </cell>
          <cell r="R227">
            <v>423.08</v>
          </cell>
          <cell r="S227">
            <v>2115</v>
          </cell>
          <cell r="T227">
            <v>0.27500000000000002</v>
          </cell>
          <cell r="U227">
            <v>423.08</v>
          </cell>
          <cell r="V227">
            <v>2115</v>
          </cell>
          <cell r="W227">
            <v>0.27500000000000002</v>
          </cell>
          <cell r="X227">
            <v>423.08</v>
          </cell>
          <cell r="Y227">
            <v>2115</v>
          </cell>
          <cell r="Z227">
            <v>0.27500000000000002</v>
          </cell>
          <cell r="AA227">
            <v>423.08</v>
          </cell>
          <cell r="AB227">
            <v>2115</v>
          </cell>
          <cell r="AC227">
            <v>0.27500000000000002</v>
          </cell>
          <cell r="AD227">
            <v>423.08</v>
          </cell>
          <cell r="AE227">
            <v>2115</v>
          </cell>
          <cell r="AF227">
            <v>0.27500000000000002</v>
          </cell>
          <cell r="AG227">
            <v>423.08</v>
          </cell>
          <cell r="AH227">
            <v>106</v>
          </cell>
        </row>
        <row r="228">
          <cell r="C228">
            <v>38200</v>
          </cell>
          <cell r="D228">
            <v>1058</v>
          </cell>
          <cell r="E228">
            <v>0.15</v>
          </cell>
          <cell r="F228">
            <v>158.69999999999999</v>
          </cell>
          <cell r="G228">
            <v>2115</v>
          </cell>
          <cell r="H228">
            <v>0.27500000000000002</v>
          </cell>
          <cell r="I228">
            <v>423.08</v>
          </cell>
          <cell r="J228">
            <v>2115</v>
          </cell>
          <cell r="K228">
            <v>0.27500000000000002</v>
          </cell>
          <cell r="L228">
            <v>423.08</v>
          </cell>
          <cell r="M228">
            <v>2115</v>
          </cell>
          <cell r="N228">
            <v>0.27500000000000002</v>
          </cell>
          <cell r="O228">
            <v>423.08</v>
          </cell>
          <cell r="P228">
            <v>2115</v>
          </cell>
          <cell r="Q228">
            <v>0.27500000000000002</v>
          </cell>
          <cell r="R228">
            <v>423.08</v>
          </cell>
          <cell r="S228">
            <v>2115</v>
          </cell>
          <cell r="T228">
            <v>0.27500000000000002</v>
          </cell>
          <cell r="U228">
            <v>423.08</v>
          </cell>
          <cell r="V228">
            <v>2115</v>
          </cell>
          <cell r="W228">
            <v>0.27500000000000002</v>
          </cell>
          <cell r="X228">
            <v>423.08</v>
          </cell>
          <cell r="Y228">
            <v>2115</v>
          </cell>
          <cell r="Z228">
            <v>0.27500000000000002</v>
          </cell>
          <cell r="AA228">
            <v>423.08</v>
          </cell>
          <cell r="AB228">
            <v>2115</v>
          </cell>
          <cell r="AC228">
            <v>0.27500000000000002</v>
          </cell>
          <cell r="AD228">
            <v>423.08</v>
          </cell>
          <cell r="AE228">
            <v>2115</v>
          </cell>
          <cell r="AF228">
            <v>0.27500000000000002</v>
          </cell>
          <cell r="AG228">
            <v>423.08</v>
          </cell>
          <cell r="AH228">
            <v>106</v>
          </cell>
        </row>
        <row r="229">
          <cell r="C229">
            <v>38231</v>
          </cell>
          <cell r="D229">
            <v>1058</v>
          </cell>
          <cell r="E229">
            <v>0.15</v>
          </cell>
          <cell r="F229">
            <v>158.69999999999999</v>
          </cell>
          <cell r="G229">
            <v>2115</v>
          </cell>
          <cell r="H229">
            <v>0.27500000000000002</v>
          </cell>
          <cell r="I229">
            <v>423.08</v>
          </cell>
          <cell r="J229">
            <v>2115</v>
          </cell>
          <cell r="K229">
            <v>0.27500000000000002</v>
          </cell>
          <cell r="L229">
            <v>423.08</v>
          </cell>
          <cell r="M229">
            <v>2115</v>
          </cell>
          <cell r="N229">
            <v>0.27500000000000002</v>
          </cell>
          <cell r="O229">
            <v>423.08</v>
          </cell>
          <cell r="P229">
            <v>2115</v>
          </cell>
          <cell r="Q229">
            <v>0.27500000000000002</v>
          </cell>
          <cell r="R229">
            <v>423.08</v>
          </cell>
          <cell r="S229">
            <v>2115</v>
          </cell>
          <cell r="T229">
            <v>0.27500000000000002</v>
          </cell>
          <cell r="U229">
            <v>423.08</v>
          </cell>
          <cell r="V229">
            <v>2115</v>
          </cell>
          <cell r="W229">
            <v>0.27500000000000002</v>
          </cell>
          <cell r="X229">
            <v>423.08</v>
          </cell>
          <cell r="Y229">
            <v>2115</v>
          </cell>
          <cell r="Z229">
            <v>0.27500000000000002</v>
          </cell>
          <cell r="AA229">
            <v>423.08</v>
          </cell>
          <cell r="AB229">
            <v>2115</v>
          </cell>
          <cell r="AC229">
            <v>0.27500000000000002</v>
          </cell>
          <cell r="AD229">
            <v>423.08</v>
          </cell>
          <cell r="AE229">
            <v>2115</v>
          </cell>
          <cell r="AF229">
            <v>0.27500000000000002</v>
          </cell>
          <cell r="AG229">
            <v>423.08</v>
          </cell>
          <cell r="AH229">
            <v>106</v>
          </cell>
        </row>
        <row r="230">
          <cell r="C230">
            <v>38261</v>
          </cell>
          <cell r="D230">
            <v>1058</v>
          </cell>
          <cell r="E230">
            <v>0.15</v>
          </cell>
          <cell r="F230">
            <v>158.69999999999999</v>
          </cell>
          <cell r="G230">
            <v>2115</v>
          </cell>
          <cell r="H230">
            <v>0.27500000000000002</v>
          </cell>
          <cell r="I230">
            <v>423.08</v>
          </cell>
          <cell r="J230">
            <v>2115</v>
          </cell>
          <cell r="K230">
            <v>0.27500000000000002</v>
          </cell>
          <cell r="L230">
            <v>423.08</v>
          </cell>
          <cell r="M230">
            <v>2115</v>
          </cell>
          <cell r="N230">
            <v>0.27500000000000002</v>
          </cell>
          <cell r="O230">
            <v>423.08</v>
          </cell>
          <cell r="P230">
            <v>2115</v>
          </cell>
          <cell r="Q230">
            <v>0.27500000000000002</v>
          </cell>
          <cell r="R230">
            <v>423.08</v>
          </cell>
          <cell r="S230">
            <v>2115</v>
          </cell>
          <cell r="T230">
            <v>0.27500000000000002</v>
          </cell>
          <cell r="U230">
            <v>423.08</v>
          </cell>
          <cell r="V230">
            <v>2115</v>
          </cell>
          <cell r="W230">
            <v>0.27500000000000002</v>
          </cell>
          <cell r="X230">
            <v>423.08</v>
          </cell>
          <cell r="Y230">
            <v>2115</v>
          </cell>
          <cell r="Z230">
            <v>0.27500000000000002</v>
          </cell>
          <cell r="AA230">
            <v>423.08</v>
          </cell>
          <cell r="AB230">
            <v>2115</v>
          </cell>
          <cell r="AC230">
            <v>0.27500000000000002</v>
          </cell>
          <cell r="AD230">
            <v>423.08</v>
          </cell>
          <cell r="AE230">
            <v>2115</v>
          </cell>
          <cell r="AF230">
            <v>0.27500000000000002</v>
          </cell>
          <cell r="AG230">
            <v>423.08</v>
          </cell>
          <cell r="AH230">
            <v>106</v>
          </cell>
        </row>
        <row r="231">
          <cell r="C231">
            <v>38292</v>
          </cell>
          <cell r="D231">
            <v>1058</v>
          </cell>
          <cell r="E231">
            <v>0.15</v>
          </cell>
          <cell r="F231">
            <v>158.69999999999999</v>
          </cell>
          <cell r="G231">
            <v>2115</v>
          </cell>
          <cell r="H231">
            <v>0.27500000000000002</v>
          </cell>
          <cell r="I231">
            <v>423.08</v>
          </cell>
          <cell r="J231">
            <v>2115</v>
          </cell>
          <cell r="K231">
            <v>0.27500000000000002</v>
          </cell>
          <cell r="L231">
            <v>423.08</v>
          </cell>
          <cell r="M231">
            <v>2115</v>
          </cell>
          <cell r="N231">
            <v>0.27500000000000002</v>
          </cell>
          <cell r="O231">
            <v>423.08</v>
          </cell>
          <cell r="P231">
            <v>2115</v>
          </cell>
          <cell r="Q231">
            <v>0.27500000000000002</v>
          </cell>
          <cell r="R231">
            <v>423.08</v>
          </cell>
          <cell r="S231">
            <v>2115</v>
          </cell>
          <cell r="T231">
            <v>0.27500000000000002</v>
          </cell>
          <cell r="U231">
            <v>423.08</v>
          </cell>
          <cell r="V231">
            <v>2115</v>
          </cell>
          <cell r="W231">
            <v>0.27500000000000002</v>
          </cell>
          <cell r="X231">
            <v>423.08</v>
          </cell>
          <cell r="Y231">
            <v>2115</v>
          </cell>
          <cell r="Z231">
            <v>0.27500000000000002</v>
          </cell>
          <cell r="AA231">
            <v>423.08</v>
          </cell>
          <cell r="AB231">
            <v>2115</v>
          </cell>
          <cell r="AC231">
            <v>0.27500000000000002</v>
          </cell>
          <cell r="AD231">
            <v>423.08</v>
          </cell>
          <cell r="AE231">
            <v>2115</v>
          </cell>
          <cell r="AF231">
            <v>0.27500000000000002</v>
          </cell>
          <cell r="AG231">
            <v>423.08</v>
          </cell>
          <cell r="AH231">
            <v>106</v>
          </cell>
        </row>
        <row r="232">
          <cell r="C232">
            <v>38322</v>
          </cell>
          <cell r="D232">
            <v>1058</v>
          </cell>
          <cell r="E232">
            <v>0.15</v>
          </cell>
          <cell r="F232">
            <v>158.69999999999999</v>
          </cell>
          <cell r="G232">
            <v>2115</v>
          </cell>
          <cell r="H232">
            <v>0.27500000000000002</v>
          </cell>
          <cell r="I232">
            <v>423.08</v>
          </cell>
          <cell r="J232">
            <v>2115</v>
          </cell>
          <cell r="K232">
            <v>0.27500000000000002</v>
          </cell>
          <cell r="L232">
            <v>423.08</v>
          </cell>
          <cell r="M232">
            <v>2115</v>
          </cell>
          <cell r="N232">
            <v>0.27500000000000002</v>
          </cell>
          <cell r="O232">
            <v>423.08</v>
          </cell>
          <cell r="P232">
            <v>2115</v>
          </cell>
          <cell r="Q232">
            <v>0.27500000000000002</v>
          </cell>
          <cell r="R232">
            <v>423.08</v>
          </cell>
          <cell r="S232">
            <v>2115</v>
          </cell>
          <cell r="T232">
            <v>0.27500000000000002</v>
          </cell>
          <cell r="U232">
            <v>423.08</v>
          </cell>
          <cell r="V232">
            <v>2115</v>
          </cell>
          <cell r="W232">
            <v>0.27500000000000002</v>
          </cell>
          <cell r="X232">
            <v>423.08</v>
          </cell>
          <cell r="Y232">
            <v>2115</v>
          </cell>
          <cell r="Z232">
            <v>0.27500000000000002</v>
          </cell>
          <cell r="AA232">
            <v>423.08</v>
          </cell>
          <cell r="AB232">
            <v>2115</v>
          </cell>
          <cell r="AC232">
            <v>0.27500000000000002</v>
          </cell>
          <cell r="AD232">
            <v>423.08</v>
          </cell>
          <cell r="AE232">
            <v>2115</v>
          </cell>
          <cell r="AF232">
            <v>0.27500000000000002</v>
          </cell>
          <cell r="AG232">
            <v>423.08</v>
          </cell>
          <cell r="AH232">
            <v>106</v>
          </cell>
        </row>
        <row r="233">
          <cell r="C233">
            <v>38353</v>
          </cell>
          <cell r="D233">
            <v>1164</v>
          </cell>
          <cell r="E233">
            <v>0.15</v>
          </cell>
          <cell r="F233">
            <v>174.6</v>
          </cell>
          <cell r="G233">
            <v>2326</v>
          </cell>
          <cell r="H233">
            <v>0.27500000000000002</v>
          </cell>
          <cell r="I233">
            <v>465.35</v>
          </cell>
          <cell r="J233">
            <v>2326</v>
          </cell>
          <cell r="K233">
            <v>0.27500000000000002</v>
          </cell>
          <cell r="L233">
            <v>465.35</v>
          </cell>
          <cell r="M233">
            <v>2326</v>
          </cell>
          <cell r="N233">
            <v>0.27500000000000002</v>
          </cell>
          <cell r="O233">
            <v>465.35</v>
          </cell>
          <cell r="P233">
            <v>2326</v>
          </cell>
          <cell r="Q233">
            <v>0.27500000000000002</v>
          </cell>
          <cell r="R233">
            <v>465.35</v>
          </cell>
          <cell r="S233">
            <v>2326</v>
          </cell>
          <cell r="T233">
            <v>0.27500000000000002</v>
          </cell>
          <cell r="U233">
            <v>465.35</v>
          </cell>
          <cell r="V233">
            <v>2326</v>
          </cell>
          <cell r="W233">
            <v>0.27500000000000002</v>
          </cell>
          <cell r="X233">
            <v>465.35</v>
          </cell>
          <cell r="Y233">
            <v>2326</v>
          </cell>
          <cell r="Z233">
            <v>0.27500000000000002</v>
          </cell>
          <cell r="AA233">
            <v>465.35</v>
          </cell>
          <cell r="AB233">
            <v>2326</v>
          </cell>
          <cell r="AC233">
            <v>0.27500000000000002</v>
          </cell>
          <cell r="AD233">
            <v>465.35</v>
          </cell>
          <cell r="AE233">
            <v>2326</v>
          </cell>
          <cell r="AF233">
            <v>0.27500000000000002</v>
          </cell>
          <cell r="AG233">
            <v>465.35</v>
          </cell>
          <cell r="AH233">
            <v>117</v>
          </cell>
        </row>
        <row r="234">
          <cell r="C234">
            <v>38384</v>
          </cell>
          <cell r="D234">
            <v>1164</v>
          </cell>
          <cell r="E234">
            <v>0.15</v>
          </cell>
          <cell r="F234">
            <v>174.6</v>
          </cell>
          <cell r="G234">
            <v>2326</v>
          </cell>
          <cell r="H234">
            <v>0.27500000000000002</v>
          </cell>
          <cell r="I234">
            <v>465.35</v>
          </cell>
          <cell r="J234">
            <v>2326</v>
          </cell>
          <cell r="K234">
            <v>0.27500000000000002</v>
          </cell>
          <cell r="L234">
            <v>465.35</v>
          </cell>
          <cell r="M234">
            <v>2326</v>
          </cell>
          <cell r="N234">
            <v>0.27500000000000002</v>
          </cell>
          <cell r="O234">
            <v>465.35</v>
          </cell>
          <cell r="P234">
            <v>2326</v>
          </cell>
          <cell r="Q234">
            <v>0.27500000000000002</v>
          </cell>
          <cell r="R234">
            <v>465.35</v>
          </cell>
          <cell r="S234">
            <v>2326</v>
          </cell>
          <cell r="T234">
            <v>0.27500000000000002</v>
          </cell>
          <cell r="U234">
            <v>465.35</v>
          </cell>
          <cell r="V234">
            <v>2326</v>
          </cell>
          <cell r="W234">
            <v>0.27500000000000002</v>
          </cell>
          <cell r="X234">
            <v>465.35</v>
          </cell>
          <cell r="Y234">
            <v>2326</v>
          </cell>
          <cell r="Z234">
            <v>0.27500000000000002</v>
          </cell>
          <cell r="AA234">
            <v>465.35</v>
          </cell>
          <cell r="AB234">
            <v>2326</v>
          </cell>
          <cell r="AC234">
            <v>0.27500000000000002</v>
          </cell>
          <cell r="AD234">
            <v>465.35</v>
          </cell>
          <cell r="AE234">
            <v>2326</v>
          </cell>
          <cell r="AF234">
            <v>0.27500000000000002</v>
          </cell>
          <cell r="AG234">
            <v>465.35</v>
          </cell>
          <cell r="AH234">
            <v>117</v>
          </cell>
        </row>
        <row r="235">
          <cell r="C235">
            <v>38412</v>
          </cell>
          <cell r="D235">
            <v>1164</v>
          </cell>
          <cell r="E235">
            <v>0.15</v>
          </cell>
          <cell r="F235">
            <v>174.6</v>
          </cell>
          <cell r="G235">
            <v>2326</v>
          </cell>
          <cell r="H235">
            <v>0.27500000000000002</v>
          </cell>
          <cell r="I235">
            <v>465.35</v>
          </cell>
          <cell r="J235">
            <v>2326</v>
          </cell>
          <cell r="K235">
            <v>0.27500000000000002</v>
          </cell>
          <cell r="L235">
            <v>465.35</v>
          </cell>
          <cell r="M235">
            <v>2326</v>
          </cell>
          <cell r="N235">
            <v>0.27500000000000002</v>
          </cell>
          <cell r="O235">
            <v>465.35</v>
          </cell>
          <cell r="P235">
            <v>2326</v>
          </cell>
          <cell r="Q235">
            <v>0.27500000000000002</v>
          </cell>
          <cell r="R235">
            <v>465.35</v>
          </cell>
          <cell r="S235">
            <v>2326</v>
          </cell>
          <cell r="T235">
            <v>0.27500000000000002</v>
          </cell>
          <cell r="U235">
            <v>465.35</v>
          </cell>
          <cell r="V235">
            <v>2326</v>
          </cell>
          <cell r="W235">
            <v>0.27500000000000002</v>
          </cell>
          <cell r="X235">
            <v>465.35</v>
          </cell>
          <cell r="Y235">
            <v>2326</v>
          </cell>
          <cell r="Z235">
            <v>0.27500000000000002</v>
          </cell>
          <cell r="AA235">
            <v>465.35</v>
          </cell>
          <cell r="AB235">
            <v>2326</v>
          </cell>
          <cell r="AC235">
            <v>0.27500000000000002</v>
          </cell>
          <cell r="AD235">
            <v>465.35</v>
          </cell>
          <cell r="AE235">
            <v>2326</v>
          </cell>
          <cell r="AF235">
            <v>0.27500000000000002</v>
          </cell>
          <cell r="AG235">
            <v>465.35</v>
          </cell>
          <cell r="AH235">
            <v>117</v>
          </cell>
        </row>
        <row r="236">
          <cell r="C236">
            <v>38443</v>
          </cell>
          <cell r="D236">
            <v>1164</v>
          </cell>
          <cell r="E236">
            <v>0.15</v>
          </cell>
          <cell r="F236">
            <v>174.6</v>
          </cell>
          <cell r="G236">
            <v>2326</v>
          </cell>
          <cell r="H236">
            <v>0.27500000000000002</v>
          </cell>
          <cell r="I236">
            <v>465.35</v>
          </cell>
          <cell r="J236">
            <v>2326</v>
          </cell>
          <cell r="K236">
            <v>0.27500000000000002</v>
          </cell>
          <cell r="L236">
            <v>465.35</v>
          </cell>
          <cell r="M236">
            <v>2326</v>
          </cell>
          <cell r="N236">
            <v>0.27500000000000002</v>
          </cell>
          <cell r="O236">
            <v>465.35</v>
          </cell>
          <cell r="P236">
            <v>2326</v>
          </cell>
          <cell r="Q236">
            <v>0.27500000000000002</v>
          </cell>
          <cell r="R236">
            <v>465.35</v>
          </cell>
          <cell r="S236">
            <v>2326</v>
          </cell>
          <cell r="T236">
            <v>0.27500000000000002</v>
          </cell>
          <cell r="U236">
            <v>465.35</v>
          </cell>
          <cell r="V236">
            <v>2326</v>
          </cell>
          <cell r="W236">
            <v>0.27500000000000002</v>
          </cell>
          <cell r="X236">
            <v>465.35</v>
          </cell>
          <cell r="Y236">
            <v>2326</v>
          </cell>
          <cell r="Z236">
            <v>0.27500000000000002</v>
          </cell>
          <cell r="AA236">
            <v>465.35</v>
          </cell>
          <cell r="AB236">
            <v>2326</v>
          </cell>
          <cell r="AC236">
            <v>0.27500000000000002</v>
          </cell>
          <cell r="AD236">
            <v>465.35</v>
          </cell>
          <cell r="AE236">
            <v>2326</v>
          </cell>
          <cell r="AF236">
            <v>0.27500000000000002</v>
          </cell>
          <cell r="AG236">
            <v>465.35</v>
          </cell>
          <cell r="AH236">
            <v>117</v>
          </cell>
        </row>
        <row r="237">
          <cell r="C237">
            <v>38473</v>
          </cell>
          <cell r="D237">
            <v>1164</v>
          </cell>
          <cell r="E237">
            <v>0.15</v>
          </cell>
          <cell r="F237">
            <v>174.6</v>
          </cell>
          <cell r="G237">
            <v>2326</v>
          </cell>
          <cell r="H237">
            <v>0.27500000000000002</v>
          </cell>
          <cell r="I237">
            <v>465.35</v>
          </cell>
          <cell r="J237">
            <v>2326</v>
          </cell>
          <cell r="K237">
            <v>0.27500000000000002</v>
          </cell>
          <cell r="L237">
            <v>465.35</v>
          </cell>
          <cell r="M237">
            <v>2326</v>
          </cell>
          <cell r="N237">
            <v>0.27500000000000002</v>
          </cell>
          <cell r="O237">
            <v>465.35</v>
          </cell>
          <cell r="P237">
            <v>2326</v>
          </cell>
          <cell r="Q237">
            <v>0.27500000000000002</v>
          </cell>
          <cell r="R237">
            <v>465.35</v>
          </cell>
          <cell r="S237">
            <v>2326</v>
          </cell>
          <cell r="T237">
            <v>0.27500000000000002</v>
          </cell>
          <cell r="U237">
            <v>465.35</v>
          </cell>
          <cell r="V237">
            <v>2326</v>
          </cell>
          <cell r="W237">
            <v>0.27500000000000002</v>
          </cell>
          <cell r="X237">
            <v>465.35</v>
          </cell>
          <cell r="Y237">
            <v>2326</v>
          </cell>
          <cell r="Z237">
            <v>0.27500000000000002</v>
          </cell>
          <cell r="AA237">
            <v>465.35</v>
          </cell>
          <cell r="AB237">
            <v>2326</v>
          </cell>
          <cell r="AC237">
            <v>0.27500000000000002</v>
          </cell>
          <cell r="AD237">
            <v>465.35</v>
          </cell>
          <cell r="AE237">
            <v>2326</v>
          </cell>
          <cell r="AF237">
            <v>0.27500000000000002</v>
          </cell>
          <cell r="AG237">
            <v>465.35</v>
          </cell>
          <cell r="AH237">
            <v>117</v>
          </cell>
        </row>
        <row r="238">
          <cell r="C238">
            <v>38504</v>
          </cell>
          <cell r="D238">
            <v>1164</v>
          </cell>
          <cell r="E238">
            <v>0.15</v>
          </cell>
          <cell r="F238">
            <v>174.6</v>
          </cell>
          <cell r="G238">
            <v>2326</v>
          </cell>
          <cell r="H238">
            <v>0.27500000000000002</v>
          </cell>
          <cell r="I238">
            <v>465.35</v>
          </cell>
          <cell r="J238">
            <v>2326</v>
          </cell>
          <cell r="K238">
            <v>0.27500000000000002</v>
          </cell>
          <cell r="L238">
            <v>465.35</v>
          </cell>
          <cell r="M238">
            <v>2326</v>
          </cell>
          <cell r="N238">
            <v>0.27500000000000002</v>
          </cell>
          <cell r="O238">
            <v>465.35</v>
          </cell>
          <cell r="P238">
            <v>2326</v>
          </cell>
          <cell r="Q238">
            <v>0.27500000000000002</v>
          </cell>
          <cell r="R238">
            <v>465.35</v>
          </cell>
          <cell r="S238">
            <v>2326</v>
          </cell>
          <cell r="T238">
            <v>0.27500000000000002</v>
          </cell>
          <cell r="U238">
            <v>465.35</v>
          </cell>
          <cell r="V238">
            <v>2326</v>
          </cell>
          <cell r="W238">
            <v>0.27500000000000002</v>
          </cell>
          <cell r="X238">
            <v>465.35</v>
          </cell>
          <cell r="Y238">
            <v>2326</v>
          </cell>
          <cell r="Z238">
            <v>0.27500000000000002</v>
          </cell>
          <cell r="AA238">
            <v>465.35</v>
          </cell>
          <cell r="AB238">
            <v>2326</v>
          </cell>
          <cell r="AC238">
            <v>0.27500000000000002</v>
          </cell>
          <cell r="AD238">
            <v>465.35</v>
          </cell>
          <cell r="AE238">
            <v>2326</v>
          </cell>
          <cell r="AF238">
            <v>0.27500000000000002</v>
          </cell>
          <cell r="AG238">
            <v>465.35</v>
          </cell>
          <cell r="AH238">
            <v>117</v>
          </cell>
        </row>
        <row r="239">
          <cell r="C239">
            <v>38534</v>
          </cell>
          <cell r="D239">
            <v>1164</v>
          </cell>
          <cell r="E239">
            <v>0.15</v>
          </cell>
          <cell r="F239">
            <v>174.6</v>
          </cell>
          <cell r="G239">
            <v>2326</v>
          </cell>
          <cell r="H239">
            <v>0.27500000000000002</v>
          </cell>
          <cell r="I239">
            <v>465.35</v>
          </cell>
          <cell r="J239">
            <v>2326</v>
          </cell>
          <cell r="K239">
            <v>0.27500000000000002</v>
          </cell>
          <cell r="L239">
            <v>465.35</v>
          </cell>
          <cell r="M239">
            <v>2326</v>
          </cell>
          <cell r="N239">
            <v>0.27500000000000002</v>
          </cell>
          <cell r="O239">
            <v>465.35</v>
          </cell>
          <cell r="P239">
            <v>2326</v>
          </cell>
          <cell r="Q239">
            <v>0.27500000000000002</v>
          </cell>
          <cell r="R239">
            <v>465.35</v>
          </cell>
          <cell r="S239">
            <v>2326</v>
          </cell>
          <cell r="T239">
            <v>0.27500000000000002</v>
          </cell>
          <cell r="U239">
            <v>465.35</v>
          </cell>
          <cell r="V239">
            <v>2326</v>
          </cell>
          <cell r="W239">
            <v>0.27500000000000002</v>
          </cell>
          <cell r="X239">
            <v>465.35</v>
          </cell>
          <cell r="Y239">
            <v>2326</v>
          </cell>
          <cell r="Z239">
            <v>0.27500000000000002</v>
          </cell>
          <cell r="AA239">
            <v>465.35</v>
          </cell>
          <cell r="AB239">
            <v>2326</v>
          </cell>
          <cell r="AC239">
            <v>0.27500000000000002</v>
          </cell>
          <cell r="AD239">
            <v>465.35</v>
          </cell>
          <cell r="AE239">
            <v>2326</v>
          </cell>
          <cell r="AF239">
            <v>0.27500000000000002</v>
          </cell>
          <cell r="AG239">
            <v>465.35</v>
          </cell>
          <cell r="AH239">
            <v>117</v>
          </cell>
        </row>
        <row r="240">
          <cell r="C240">
            <v>38565</v>
          </cell>
          <cell r="D240">
            <v>1164</v>
          </cell>
          <cell r="E240">
            <v>0.15</v>
          </cell>
          <cell r="F240">
            <v>174.6</v>
          </cell>
          <cell r="G240">
            <v>2326</v>
          </cell>
          <cell r="H240">
            <v>0.27500000000000002</v>
          </cell>
          <cell r="I240">
            <v>465.35</v>
          </cell>
          <cell r="J240">
            <v>2326</v>
          </cell>
          <cell r="K240">
            <v>0.27500000000000002</v>
          </cell>
          <cell r="L240">
            <v>465.35</v>
          </cell>
          <cell r="M240">
            <v>2326</v>
          </cell>
          <cell r="N240">
            <v>0.27500000000000002</v>
          </cell>
          <cell r="O240">
            <v>465.35</v>
          </cell>
          <cell r="P240">
            <v>2326</v>
          </cell>
          <cell r="Q240">
            <v>0.27500000000000002</v>
          </cell>
          <cell r="R240">
            <v>465.35</v>
          </cell>
          <cell r="S240">
            <v>2326</v>
          </cell>
          <cell r="T240">
            <v>0.27500000000000002</v>
          </cell>
          <cell r="U240">
            <v>465.35</v>
          </cell>
          <cell r="V240">
            <v>2326</v>
          </cell>
          <cell r="W240">
            <v>0.27500000000000002</v>
          </cell>
          <cell r="X240">
            <v>465.35</v>
          </cell>
          <cell r="Y240">
            <v>2326</v>
          </cell>
          <cell r="Z240">
            <v>0.27500000000000002</v>
          </cell>
          <cell r="AA240">
            <v>465.35</v>
          </cell>
          <cell r="AB240">
            <v>2326</v>
          </cell>
          <cell r="AC240">
            <v>0.27500000000000002</v>
          </cell>
          <cell r="AD240">
            <v>465.35</v>
          </cell>
          <cell r="AE240">
            <v>2326</v>
          </cell>
          <cell r="AF240">
            <v>0.27500000000000002</v>
          </cell>
          <cell r="AG240">
            <v>465.35</v>
          </cell>
          <cell r="AH240">
            <v>117</v>
          </cell>
        </row>
        <row r="241">
          <cell r="C241">
            <v>38596</v>
          </cell>
          <cell r="D241">
            <v>1164</v>
          </cell>
          <cell r="E241">
            <v>0.15</v>
          </cell>
          <cell r="F241">
            <v>174.6</v>
          </cell>
          <cell r="G241">
            <v>2326</v>
          </cell>
          <cell r="H241">
            <v>0.27500000000000002</v>
          </cell>
          <cell r="I241">
            <v>465.35</v>
          </cell>
          <cell r="J241">
            <v>2326</v>
          </cell>
          <cell r="K241">
            <v>0.27500000000000002</v>
          </cell>
          <cell r="L241">
            <v>465.35</v>
          </cell>
          <cell r="M241">
            <v>2326</v>
          </cell>
          <cell r="N241">
            <v>0.27500000000000002</v>
          </cell>
          <cell r="O241">
            <v>465.35</v>
          </cell>
          <cell r="P241">
            <v>2326</v>
          </cell>
          <cell r="Q241">
            <v>0.27500000000000002</v>
          </cell>
          <cell r="R241">
            <v>465.35</v>
          </cell>
          <cell r="S241">
            <v>2326</v>
          </cell>
          <cell r="T241">
            <v>0.27500000000000002</v>
          </cell>
          <cell r="U241">
            <v>465.35</v>
          </cell>
          <cell r="V241">
            <v>2326</v>
          </cell>
          <cell r="W241">
            <v>0.27500000000000002</v>
          </cell>
          <cell r="X241">
            <v>465.35</v>
          </cell>
          <cell r="Y241">
            <v>2326</v>
          </cell>
          <cell r="Z241">
            <v>0.27500000000000002</v>
          </cell>
          <cell r="AA241">
            <v>465.35</v>
          </cell>
          <cell r="AB241">
            <v>2326</v>
          </cell>
          <cell r="AC241">
            <v>0.27500000000000002</v>
          </cell>
          <cell r="AD241">
            <v>465.35</v>
          </cell>
          <cell r="AE241">
            <v>2326</v>
          </cell>
          <cell r="AF241">
            <v>0.27500000000000002</v>
          </cell>
          <cell r="AG241">
            <v>465.35</v>
          </cell>
          <cell r="AH241">
            <v>117</v>
          </cell>
        </row>
        <row r="242">
          <cell r="C242">
            <v>38626</v>
          </cell>
          <cell r="D242">
            <v>1164</v>
          </cell>
          <cell r="E242">
            <v>0.15</v>
          </cell>
          <cell r="F242">
            <v>174.6</v>
          </cell>
          <cell r="G242">
            <v>2326</v>
          </cell>
          <cell r="H242">
            <v>0.27500000000000002</v>
          </cell>
          <cell r="I242">
            <v>465.35</v>
          </cell>
          <cell r="J242">
            <v>2326</v>
          </cell>
          <cell r="K242">
            <v>0.27500000000000002</v>
          </cell>
          <cell r="L242">
            <v>465.35</v>
          </cell>
          <cell r="M242">
            <v>2326</v>
          </cell>
          <cell r="N242">
            <v>0.27500000000000002</v>
          </cell>
          <cell r="O242">
            <v>465.35</v>
          </cell>
          <cell r="P242">
            <v>2326</v>
          </cell>
          <cell r="Q242">
            <v>0.27500000000000002</v>
          </cell>
          <cell r="R242">
            <v>465.35</v>
          </cell>
          <cell r="S242">
            <v>2326</v>
          </cell>
          <cell r="T242">
            <v>0.27500000000000002</v>
          </cell>
          <cell r="U242">
            <v>465.35</v>
          </cell>
          <cell r="V242">
            <v>2326</v>
          </cell>
          <cell r="W242">
            <v>0.27500000000000002</v>
          </cell>
          <cell r="X242">
            <v>465.35</v>
          </cell>
          <cell r="Y242">
            <v>2326</v>
          </cell>
          <cell r="Z242">
            <v>0.27500000000000002</v>
          </cell>
          <cell r="AA242">
            <v>465.35</v>
          </cell>
          <cell r="AB242">
            <v>2326</v>
          </cell>
          <cell r="AC242">
            <v>0.27500000000000002</v>
          </cell>
          <cell r="AD242">
            <v>465.35</v>
          </cell>
          <cell r="AE242">
            <v>2326</v>
          </cell>
          <cell r="AF242">
            <v>0.27500000000000002</v>
          </cell>
          <cell r="AG242">
            <v>465.35</v>
          </cell>
          <cell r="AH242">
            <v>117</v>
          </cell>
        </row>
        <row r="243">
          <cell r="C243">
            <v>38657</v>
          </cell>
          <cell r="D243">
            <v>1164</v>
          </cell>
          <cell r="E243">
            <v>0.15</v>
          </cell>
          <cell r="F243">
            <v>174.6</v>
          </cell>
          <cell r="G243">
            <v>2326</v>
          </cell>
          <cell r="H243">
            <v>0.27500000000000002</v>
          </cell>
          <cell r="I243">
            <v>465.35</v>
          </cell>
          <cell r="J243">
            <v>2326</v>
          </cell>
          <cell r="K243">
            <v>0.27500000000000002</v>
          </cell>
          <cell r="L243">
            <v>465.35</v>
          </cell>
          <cell r="M243">
            <v>2326</v>
          </cell>
          <cell r="N243">
            <v>0.27500000000000002</v>
          </cell>
          <cell r="O243">
            <v>465.35</v>
          </cell>
          <cell r="P243">
            <v>2326</v>
          </cell>
          <cell r="Q243">
            <v>0.27500000000000002</v>
          </cell>
          <cell r="R243">
            <v>465.35</v>
          </cell>
          <cell r="S243">
            <v>2326</v>
          </cell>
          <cell r="T243">
            <v>0.27500000000000002</v>
          </cell>
          <cell r="U243">
            <v>465.35</v>
          </cell>
          <cell r="V243">
            <v>2326</v>
          </cell>
          <cell r="W243">
            <v>0.27500000000000002</v>
          </cell>
          <cell r="X243">
            <v>465.35</v>
          </cell>
          <cell r="Y243">
            <v>2326</v>
          </cell>
          <cell r="Z243">
            <v>0.27500000000000002</v>
          </cell>
          <cell r="AA243">
            <v>465.35</v>
          </cell>
          <cell r="AB243">
            <v>2326</v>
          </cell>
          <cell r="AC243">
            <v>0.27500000000000002</v>
          </cell>
          <cell r="AD243">
            <v>465.35</v>
          </cell>
          <cell r="AE243">
            <v>2326</v>
          </cell>
          <cell r="AF243">
            <v>0.27500000000000002</v>
          </cell>
          <cell r="AG243">
            <v>465.35</v>
          </cell>
          <cell r="AH243">
            <v>117</v>
          </cell>
        </row>
        <row r="244">
          <cell r="C244">
            <v>38687</v>
          </cell>
          <cell r="D244">
            <v>1164</v>
          </cell>
          <cell r="E244">
            <v>0.15</v>
          </cell>
          <cell r="F244">
            <v>174.6</v>
          </cell>
          <cell r="G244">
            <v>2326</v>
          </cell>
          <cell r="H244">
            <v>0.27500000000000002</v>
          </cell>
          <cell r="I244">
            <v>465.35</v>
          </cell>
          <cell r="J244">
            <v>2326</v>
          </cell>
          <cell r="K244">
            <v>0.27500000000000002</v>
          </cell>
          <cell r="L244">
            <v>465.35</v>
          </cell>
          <cell r="M244">
            <v>2326</v>
          </cell>
          <cell r="N244">
            <v>0.27500000000000002</v>
          </cell>
          <cell r="O244">
            <v>465.35</v>
          </cell>
          <cell r="P244">
            <v>2326</v>
          </cell>
          <cell r="Q244">
            <v>0.27500000000000002</v>
          </cell>
          <cell r="R244">
            <v>465.35</v>
          </cell>
          <cell r="S244">
            <v>2326</v>
          </cell>
          <cell r="T244">
            <v>0.27500000000000002</v>
          </cell>
          <cell r="U244">
            <v>465.35</v>
          </cell>
          <cell r="V244">
            <v>2326</v>
          </cell>
          <cell r="W244">
            <v>0.27500000000000002</v>
          </cell>
          <cell r="X244">
            <v>465.35</v>
          </cell>
          <cell r="Y244">
            <v>2326</v>
          </cell>
          <cell r="Z244">
            <v>0.27500000000000002</v>
          </cell>
          <cell r="AA244">
            <v>465.35</v>
          </cell>
          <cell r="AB244">
            <v>2326</v>
          </cell>
          <cell r="AC244">
            <v>0.27500000000000002</v>
          </cell>
          <cell r="AD244">
            <v>465.35</v>
          </cell>
          <cell r="AE244">
            <v>2326</v>
          </cell>
          <cell r="AF244">
            <v>0.27500000000000002</v>
          </cell>
          <cell r="AG244">
            <v>465.35</v>
          </cell>
          <cell r="AH244">
            <v>117</v>
          </cell>
        </row>
        <row r="245">
          <cell r="C245">
            <v>38718</v>
          </cell>
          <cell r="D245">
            <v>1164</v>
          </cell>
          <cell r="E245">
            <v>0.15</v>
          </cell>
          <cell r="F245">
            <v>174.6</v>
          </cell>
          <cell r="G245">
            <v>2326</v>
          </cell>
          <cell r="H245">
            <v>0.27500000000000002</v>
          </cell>
          <cell r="I245">
            <v>465.35</v>
          </cell>
          <cell r="J245">
            <v>2326</v>
          </cell>
          <cell r="K245">
            <v>0.27500000000000002</v>
          </cell>
          <cell r="L245">
            <v>465.35</v>
          </cell>
          <cell r="M245">
            <v>2326</v>
          </cell>
          <cell r="N245">
            <v>0.27500000000000002</v>
          </cell>
          <cell r="O245">
            <v>465.35</v>
          </cell>
          <cell r="P245">
            <v>2326</v>
          </cell>
          <cell r="Q245">
            <v>0.27500000000000002</v>
          </cell>
          <cell r="R245">
            <v>465.35</v>
          </cell>
          <cell r="S245">
            <v>2326</v>
          </cell>
          <cell r="T245">
            <v>0.27500000000000002</v>
          </cell>
          <cell r="U245">
            <v>465.35</v>
          </cell>
          <cell r="V245">
            <v>2326</v>
          </cell>
          <cell r="W245">
            <v>0.27500000000000002</v>
          </cell>
          <cell r="X245">
            <v>465.35</v>
          </cell>
          <cell r="Y245">
            <v>2326</v>
          </cell>
          <cell r="Z245">
            <v>0.27500000000000002</v>
          </cell>
          <cell r="AA245">
            <v>465.35</v>
          </cell>
          <cell r="AB245">
            <v>2326</v>
          </cell>
          <cell r="AC245">
            <v>0.27500000000000002</v>
          </cell>
          <cell r="AD245">
            <v>465.35</v>
          </cell>
          <cell r="AE245">
            <v>2326</v>
          </cell>
          <cell r="AF245">
            <v>0.27500000000000002</v>
          </cell>
          <cell r="AG245">
            <v>465.35</v>
          </cell>
          <cell r="AH245">
            <v>117</v>
          </cell>
        </row>
        <row r="246">
          <cell r="C246">
            <v>38749</v>
          </cell>
          <cell r="D246">
            <v>1257.1199999999999</v>
          </cell>
          <cell r="E246">
            <v>0.15</v>
          </cell>
          <cell r="F246">
            <v>188.57</v>
          </cell>
          <cell r="G246">
            <v>2512.08</v>
          </cell>
          <cell r="H246">
            <v>0.27500000000000002</v>
          </cell>
          <cell r="I246">
            <v>502.58</v>
          </cell>
          <cell r="J246">
            <v>2512.08</v>
          </cell>
          <cell r="K246">
            <v>0.27500000000000002</v>
          </cell>
          <cell r="L246">
            <v>502.58</v>
          </cell>
          <cell r="M246">
            <v>2512.08</v>
          </cell>
          <cell r="N246">
            <v>0.27500000000000002</v>
          </cell>
          <cell r="O246">
            <v>502.58</v>
          </cell>
          <cell r="P246">
            <v>2512.08</v>
          </cell>
          <cell r="Q246">
            <v>0.27500000000000002</v>
          </cell>
          <cell r="R246">
            <v>502.58</v>
          </cell>
          <cell r="S246">
            <v>2512.08</v>
          </cell>
          <cell r="T246">
            <v>0.27500000000000002</v>
          </cell>
          <cell r="U246">
            <v>502.58</v>
          </cell>
          <cell r="V246">
            <v>2512.08</v>
          </cell>
          <cell r="W246">
            <v>0.27500000000000002</v>
          </cell>
          <cell r="X246">
            <v>502.58</v>
          </cell>
          <cell r="Y246">
            <v>2512.08</v>
          </cell>
          <cell r="Z246">
            <v>0.27500000000000002</v>
          </cell>
          <cell r="AA246">
            <v>502.58</v>
          </cell>
          <cell r="AB246">
            <v>2512.08</v>
          </cell>
          <cell r="AC246">
            <v>0.27500000000000002</v>
          </cell>
          <cell r="AD246">
            <v>502.58</v>
          </cell>
          <cell r="AE246">
            <v>2512.08</v>
          </cell>
          <cell r="AF246">
            <v>0.27500000000000002</v>
          </cell>
          <cell r="AG246">
            <v>502.58</v>
          </cell>
          <cell r="AH246">
            <v>126.36</v>
          </cell>
        </row>
        <row r="247">
          <cell r="C247">
            <v>38777</v>
          </cell>
          <cell r="D247">
            <v>1257.1199999999999</v>
          </cell>
          <cell r="E247">
            <v>0.15</v>
          </cell>
          <cell r="F247">
            <v>188.57</v>
          </cell>
          <cell r="G247">
            <v>2512.08</v>
          </cell>
          <cell r="H247">
            <v>0.27500000000000002</v>
          </cell>
          <cell r="I247">
            <v>502.58</v>
          </cell>
          <cell r="J247">
            <v>2512.08</v>
          </cell>
          <cell r="K247">
            <v>0.27500000000000002</v>
          </cell>
          <cell r="L247">
            <v>502.58</v>
          </cell>
          <cell r="M247">
            <v>2512.08</v>
          </cell>
          <cell r="N247">
            <v>0.27500000000000002</v>
          </cell>
          <cell r="O247">
            <v>502.58</v>
          </cell>
          <cell r="P247">
            <v>2512.08</v>
          </cell>
          <cell r="Q247">
            <v>0.27500000000000002</v>
          </cell>
          <cell r="R247">
            <v>502.58</v>
          </cell>
          <cell r="S247">
            <v>2512.08</v>
          </cell>
          <cell r="T247">
            <v>0.27500000000000002</v>
          </cell>
          <cell r="U247">
            <v>502.58</v>
          </cell>
          <cell r="V247">
            <v>2512.08</v>
          </cell>
          <cell r="W247">
            <v>0.27500000000000002</v>
          </cell>
          <cell r="X247">
            <v>502.58</v>
          </cell>
          <cell r="Y247">
            <v>2512.08</v>
          </cell>
          <cell r="Z247">
            <v>0.27500000000000002</v>
          </cell>
          <cell r="AA247">
            <v>502.58</v>
          </cell>
          <cell r="AB247">
            <v>2512.08</v>
          </cell>
          <cell r="AC247">
            <v>0.27500000000000002</v>
          </cell>
          <cell r="AD247">
            <v>502.58</v>
          </cell>
          <cell r="AE247">
            <v>2512.08</v>
          </cell>
          <cell r="AF247">
            <v>0.27500000000000002</v>
          </cell>
          <cell r="AG247">
            <v>502.58</v>
          </cell>
          <cell r="AH247">
            <v>126.36</v>
          </cell>
        </row>
        <row r="248">
          <cell r="C248">
            <v>38808</v>
          </cell>
          <cell r="D248">
            <v>1257.1199999999999</v>
          </cell>
          <cell r="E248">
            <v>0.15</v>
          </cell>
          <cell r="F248">
            <v>188.57</v>
          </cell>
          <cell r="G248">
            <v>2512.08</v>
          </cell>
          <cell r="H248">
            <v>0.27500000000000002</v>
          </cell>
          <cell r="I248">
            <v>502.58</v>
          </cell>
          <cell r="J248">
            <v>2512.08</v>
          </cell>
          <cell r="K248">
            <v>0.27500000000000002</v>
          </cell>
          <cell r="L248">
            <v>502.58</v>
          </cell>
          <cell r="M248">
            <v>2512.08</v>
          </cell>
          <cell r="N248">
            <v>0.27500000000000002</v>
          </cell>
          <cell r="O248">
            <v>502.58</v>
          </cell>
          <cell r="P248">
            <v>2512.08</v>
          </cell>
          <cell r="Q248">
            <v>0.27500000000000002</v>
          </cell>
          <cell r="R248">
            <v>502.58</v>
          </cell>
          <cell r="S248">
            <v>2512.08</v>
          </cell>
          <cell r="T248">
            <v>0.27500000000000002</v>
          </cell>
          <cell r="U248">
            <v>502.58</v>
          </cell>
          <cell r="V248">
            <v>2512.08</v>
          </cell>
          <cell r="W248">
            <v>0.27500000000000002</v>
          </cell>
          <cell r="X248">
            <v>502.58</v>
          </cell>
          <cell r="Y248">
            <v>2512.08</v>
          </cell>
          <cell r="Z248">
            <v>0.27500000000000002</v>
          </cell>
          <cell r="AA248">
            <v>502.58</v>
          </cell>
          <cell r="AB248">
            <v>2512.08</v>
          </cell>
          <cell r="AC248">
            <v>0.27500000000000002</v>
          </cell>
          <cell r="AD248">
            <v>502.58</v>
          </cell>
          <cell r="AE248">
            <v>2512.08</v>
          </cell>
          <cell r="AF248">
            <v>0.27500000000000002</v>
          </cell>
          <cell r="AG248">
            <v>502.58</v>
          </cell>
          <cell r="AH248">
            <v>126.36</v>
          </cell>
        </row>
        <row r="249">
          <cell r="C249">
            <v>38838</v>
          </cell>
          <cell r="D249">
            <v>1257.1199999999999</v>
          </cell>
          <cell r="E249">
            <v>0.15</v>
          </cell>
          <cell r="F249">
            <v>188.57</v>
          </cell>
          <cell r="G249">
            <v>2512.08</v>
          </cell>
          <cell r="H249">
            <v>0.27500000000000002</v>
          </cell>
          <cell r="I249">
            <v>502.58</v>
          </cell>
          <cell r="J249">
            <v>2512.08</v>
          </cell>
          <cell r="K249">
            <v>0.27500000000000002</v>
          </cell>
          <cell r="L249">
            <v>502.58</v>
          </cell>
          <cell r="M249">
            <v>2512.08</v>
          </cell>
          <cell r="N249">
            <v>0.27500000000000002</v>
          </cell>
          <cell r="O249">
            <v>502.58</v>
          </cell>
          <cell r="P249">
            <v>2512.08</v>
          </cell>
          <cell r="Q249">
            <v>0.27500000000000002</v>
          </cell>
          <cell r="R249">
            <v>502.58</v>
          </cell>
          <cell r="S249">
            <v>2512.08</v>
          </cell>
          <cell r="T249">
            <v>0.27500000000000002</v>
          </cell>
          <cell r="U249">
            <v>502.58</v>
          </cell>
          <cell r="V249">
            <v>2512.08</v>
          </cell>
          <cell r="W249">
            <v>0.27500000000000002</v>
          </cell>
          <cell r="X249">
            <v>502.58</v>
          </cell>
          <cell r="Y249">
            <v>2512.08</v>
          </cell>
          <cell r="Z249">
            <v>0.27500000000000002</v>
          </cell>
          <cell r="AA249">
            <v>502.58</v>
          </cell>
          <cell r="AB249">
            <v>2512.08</v>
          </cell>
          <cell r="AC249">
            <v>0.27500000000000002</v>
          </cell>
          <cell r="AD249">
            <v>502.58</v>
          </cell>
          <cell r="AE249">
            <v>2512.08</v>
          </cell>
          <cell r="AF249">
            <v>0.27500000000000002</v>
          </cell>
          <cell r="AG249">
            <v>502.58</v>
          </cell>
          <cell r="AH249">
            <v>126.36</v>
          </cell>
        </row>
        <row r="250">
          <cell r="C250">
            <v>38869</v>
          </cell>
          <cell r="D250">
            <v>1257.1199999999999</v>
          </cell>
          <cell r="E250">
            <v>0.15</v>
          </cell>
          <cell r="F250">
            <v>188.57</v>
          </cell>
          <cell r="G250">
            <v>2512.08</v>
          </cell>
          <cell r="H250">
            <v>0.27500000000000002</v>
          </cell>
          <cell r="I250">
            <v>502.58</v>
          </cell>
          <cell r="J250">
            <v>2512.08</v>
          </cell>
          <cell r="K250">
            <v>0.27500000000000002</v>
          </cell>
          <cell r="L250">
            <v>502.58</v>
          </cell>
          <cell r="M250">
            <v>2512.08</v>
          </cell>
          <cell r="N250">
            <v>0.27500000000000002</v>
          </cell>
          <cell r="O250">
            <v>502.58</v>
          </cell>
          <cell r="P250">
            <v>2512.08</v>
          </cell>
          <cell r="Q250">
            <v>0.27500000000000002</v>
          </cell>
          <cell r="R250">
            <v>502.58</v>
          </cell>
          <cell r="S250">
            <v>2512.08</v>
          </cell>
          <cell r="T250">
            <v>0.27500000000000002</v>
          </cell>
          <cell r="U250">
            <v>502.58</v>
          </cell>
          <cell r="V250">
            <v>2512.08</v>
          </cell>
          <cell r="W250">
            <v>0.27500000000000002</v>
          </cell>
          <cell r="X250">
            <v>502.58</v>
          </cell>
          <cell r="Y250">
            <v>2512.08</v>
          </cell>
          <cell r="Z250">
            <v>0.27500000000000002</v>
          </cell>
          <cell r="AA250">
            <v>502.58</v>
          </cell>
          <cell r="AB250">
            <v>2512.08</v>
          </cell>
          <cell r="AC250">
            <v>0.27500000000000002</v>
          </cell>
          <cell r="AD250">
            <v>502.58</v>
          </cell>
          <cell r="AE250">
            <v>2512.08</v>
          </cell>
          <cell r="AF250">
            <v>0.27500000000000002</v>
          </cell>
          <cell r="AG250">
            <v>502.58</v>
          </cell>
          <cell r="AH250">
            <v>126.36</v>
          </cell>
        </row>
        <row r="251">
          <cell r="C251">
            <v>38899</v>
          </cell>
          <cell r="D251">
            <v>1257.1199999999999</v>
          </cell>
          <cell r="E251">
            <v>0.15</v>
          </cell>
          <cell r="F251">
            <v>188.57</v>
          </cell>
          <cell r="G251">
            <v>2512.08</v>
          </cell>
          <cell r="H251">
            <v>0.27500000000000002</v>
          </cell>
          <cell r="I251">
            <v>502.58</v>
          </cell>
          <cell r="J251">
            <v>2512.08</v>
          </cell>
          <cell r="K251">
            <v>0.27500000000000002</v>
          </cell>
          <cell r="L251">
            <v>502.58</v>
          </cell>
          <cell r="M251">
            <v>2512.08</v>
          </cell>
          <cell r="N251">
            <v>0.27500000000000002</v>
          </cell>
          <cell r="O251">
            <v>502.58</v>
          </cell>
          <cell r="P251">
            <v>2512.08</v>
          </cell>
          <cell r="Q251">
            <v>0.27500000000000002</v>
          </cell>
          <cell r="R251">
            <v>502.58</v>
          </cell>
          <cell r="S251">
            <v>2512.08</v>
          </cell>
          <cell r="T251">
            <v>0.27500000000000002</v>
          </cell>
          <cell r="U251">
            <v>502.58</v>
          </cell>
          <cell r="V251">
            <v>2512.08</v>
          </cell>
          <cell r="W251">
            <v>0.27500000000000002</v>
          </cell>
          <cell r="X251">
            <v>502.58</v>
          </cell>
          <cell r="Y251">
            <v>2512.08</v>
          </cell>
          <cell r="Z251">
            <v>0.27500000000000002</v>
          </cell>
          <cell r="AA251">
            <v>502.58</v>
          </cell>
          <cell r="AB251">
            <v>2512.08</v>
          </cell>
          <cell r="AC251">
            <v>0.27500000000000002</v>
          </cell>
          <cell r="AD251">
            <v>502.58</v>
          </cell>
          <cell r="AE251">
            <v>2512.08</v>
          </cell>
          <cell r="AF251">
            <v>0.27500000000000002</v>
          </cell>
          <cell r="AG251">
            <v>502.58</v>
          </cell>
          <cell r="AH251">
            <v>126.36</v>
          </cell>
        </row>
        <row r="252">
          <cell r="C252">
            <v>38930</v>
          </cell>
          <cell r="D252">
            <v>1257.1199999999999</v>
          </cell>
          <cell r="E252">
            <v>0.15</v>
          </cell>
          <cell r="F252">
            <v>188.57</v>
          </cell>
          <cell r="G252">
            <v>2512.08</v>
          </cell>
          <cell r="H252">
            <v>0.27500000000000002</v>
          </cell>
          <cell r="I252">
            <v>502.58</v>
          </cell>
          <cell r="J252">
            <v>2512.08</v>
          </cell>
          <cell r="K252">
            <v>0.27500000000000002</v>
          </cell>
          <cell r="L252">
            <v>502.58</v>
          </cell>
          <cell r="M252">
            <v>2512.08</v>
          </cell>
          <cell r="N252">
            <v>0.27500000000000002</v>
          </cell>
          <cell r="O252">
            <v>502.58</v>
          </cell>
          <cell r="P252">
            <v>2512.08</v>
          </cell>
          <cell r="Q252">
            <v>0.27500000000000002</v>
          </cell>
          <cell r="R252">
            <v>502.58</v>
          </cell>
          <cell r="S252">
            <v>2512.08</v>
          </cell>
          <cell r="T252">
            <v>0.27500000000000002</v>
          </cell>
          <cell r="U252">
            <v>502.58</v>
          </cell>
          <cell r="V252">
            <v>2512.08</v>
          </cell>
          <cell r="W252">
            <v>0.27500000000000002</v>
          </cell>
          <cell r="X252">
            <v>502.58</v>
          </cell>
          <cell r="Y252">
            <v>2512.08</v>
          </cell>
          <cell r="Z252">
            <v>0.27500000000000002</v>
          </cell>
          <cell r="AA252">
            <v>502.58</v>
          </cell>
          <cell r="AB252">
            <v>2512.08</v>
          </cell>
          <cell r="AC252">
            <v>0.27500000000000002</v>
          </cell>
          <cell r="AD252">
            <v>502.58</v>
          </cell>
          <cell r="AE252">
            <v>2512.08</v>
          </cell>
          <cell r="AF252">
            <v>0.27500000000000002</v>
          </cell>
          <cell r="AG252">
            <v>502.58</v>
          </cell>
          <cell r="AH252">
            <v>126.36</v>
          </cell>
        </row>
        <row r="253">
          <cell r="C253">
            <v>38961</v>
          </cell>
          <cell r="D253">
            <v>1257.1199999999999</v>
          </cell>
          <cell r="E253">
            <v>0.15</v>
          </cell>
          <cell r="F253">
            <v>188.57</v>
          </cell>
          <cell r="G253">
            <v>2512.08</v>
          </cell>
          <cell r="H253">
            <v>0.27500000000000002</v>
          </cell>
          <cell r="I253">
            <v>502.58</v>
          </cell>
          <cell r="J253">
            <v>2512.08</v>
          </cell>
          <cell r="K253">
            <v>0.27500000000000002</v>
          </cell>
          <cell r="L253">
            <v>502.58</v>
          </cell>
          <cell r="M253">
            <v>2512.08</v>
          </cell>
          <cell r="N253">
            <v>0.27500000000000002</v>
          </cell>
          <cell r="O253">
            <v>502.58</v>
          </cell>
          <cell r="P253">
            <v>2512.08</v>
          </cell>
          <cell r="Q253">
            <v>0.27500000000000002</v>
          </cell>
          <cell r="R253">
            <v>502.58</v>
          </cell>
          <cell r="S253">
            <v>2512.08</v>
          </cell>
          <cell r="T253">
            <v>0.27500000000000002</v>
          </cell>
          <cell r="U253">
            <v>502.58</v>
          </cell>
          <cell r="V253">
            <v>2512.08</v>
          </cell>
          <cell r="W253">
            <v>0.27500000000000002</v>
          </cell>
          <cell r="X253">
            <v>502.58</v>
          </cell>
          <cell r="Y253">
            <v>2512.08</v>
          </cell>
          <cell r="Z253">
            <v>0.27500000000000002</v>
          </cell>
          <cell r="AA253">
            <v>502.58</v>
          </cell>
          <cell r="AB253">
            <v>2512.08</v>
          </cell>
          <cell r="AC253">
            <v>0.27500000000000002</v>
          </cell>
          <cell r="AD253">
            <v>502.58</v>
          </cell>
          <cell r="AE253">
            <v>2512.08</v>
          </cell>
          <cell r="AF253">
            <v>0.27500000000000002</v>
          </cell>
          <cell r="AG253">
            <v>502.58</v>
          </cell>
          <cell r="AH253">
            <v>126.36</v>
          </cell>
        </row>
        <row r="254">
          <cell r="C254">
            <v>38991</v>
          </cell>
          <cell r="D254">
            <v>1257.1199999999999</v>
          </cell>
          <cell r="E254">
            <v>0.15</v>
          </cell>
          <cell r="F254">
            <v>188.57</v>
          </cell>
          <cell r="G254">
            <v>2512.08</v>
          </cell>
          <cell r="H254">
            <v>0.27500000000000002</v>
          </cell>
          <cell r="I254">
            <v>502.58</v>
          </cell>
          <cell r="J254">
            <v>2512.08</v>
          </cell>
          <cell r="K254">
            <v>0.27500000000000002</v>
          </cell>
          <cell r="L254">
            <v>502.58</v>
          </cell>
          <cell r="M254">
            <v>2512.08</v>
          </cell>
          <cell r="N254">
            <v>0.27500000000000002</v>
          </cell>
          <cell r="O254">
            <v>502.58</v>
          </cell>
          <cell r="P254">
            <v>2512.08</v>
          </cell>
          <cell r="Q254">
            <v>0.27500000000000002</v>
          </cell>
          <cell r="R254">
            <v>502.58</v>
          </cell>
          <cell r="S254">
            <v>2512.08</v>
          </cell>
          <cell r="T254">
            <v>0.27500000000000002</v>
          </cell>
          <cell r="U254">
            <v>502.58</v>
          </cell>
          <cell r="V254">
            <v>2512.08</v>
          </cell>
          <cell r="W254">
            <v>0.27500000000000002</v>
          </cell>
          <cell r="X254">
            <v>502.58</v>
          </cell>
          <cell r="Y254">
            <v>2512.08</v>
          </cell>
          <cell r="Z254">
            <v>0.27500000000000002</v>
          </cell>
          <cell r="AA254">
            <v>502.58</v>
          </cell>
          <cell r="AB254">
            <v>2512.08</v>
          </cell>
          <cell r="AC254">
            <v>0.27500000000000002</v>
          </cell>
          <cell r="AD254">
            <v>502.58</v>
          </cell>
          <cell r="AE254">
            <v>2512.08</v>
          </cell>
          <cell r="AF254">
            <v>0.27500000000000002</v>
          </cell>
          <cell r="AG254">
            <v>502.58</v>
          </cell>
          <cell r="AH254">
            <v>126.36</v>
          </cell>
        </row>
        <row r="255">
          <cell r="C255">
            <v>39022</v>
          </cell>
          <cell r="D255">
            <v>1257.1199999999999</v>
          </cell>
          <cell r="E255">
            <v>0.15</v>
          </cell>
          <cell r="F255">
            <v>188.57</v>
          </cell>
          <cell r="G255">
            <v>2512.08</v>
          </cell>
          <cell r="H255">
            <v>0.27500000000000002</v>
          </cell>
          <cell r="I255">
            <v>502.58</v>
          </cell>
          <cell r="J255">
            <v>2512.08</v>
          </cell>
          <cell r="K255">
            <v>0.27500000000000002</v>
          </cell>
          <cell r="L255">
            <v>502.58</v>
          </cell>
          <cell r="M255">
            <v>2512.08</v>
          </cell>
          <cell r="N255">
            <v>0.27500000000000002</v>
          </cell>
          <cell r="O255">
            <v>502.58</v>
          </cell>
          <cell r="P255">
            <v>2512.08</v>
          </cell>
          <cell r="Q255">
            <v>0.27500000000000002</v>
          </cell>
          <cell r="R255">
            <v>502.58</v>
          </cell>
          <cell r="S255">
            <v>2512.08</v>
          </cell>
          <cell r="T255">
            <v>0.27500000000000002</v>
          </cell>
          <cell r="U255">
            <v>502.58</v>
          </cell>
          <cell r="V255">
            <v>2512.08</v>
          </cell>
          <cell r="W255">
            <v>0.27500000000000002</v>
          </cell>
          <cell r="X255">
            <v>502.58</v>
          </cell>
          <cell r="Y255">
            <v>2512.08</v>
          </cell>
          <cell r="Z255">
            <v>0.27500000000000002</v>
          </cell>
          <cell r="AA255">
            <v>502.58</v>
          </cell>
          <cell r="AB255">
            <v>2512.08</v>
          </cell>
          <cell r="AC255">
            <v>0.27500000000000002</v>
          </cell>
          <cell r="AD255">
            <v>502.58</v>
          </cell>
          <cell r="AE255">
            <v>2512.08</v>
          </cell>
          <cell r="AF255">
            <v>0.27500000000000002</v>
          </cell>
          <cell r="AG255">
            <v>502.58</v>
          </cell>
          <cell r="AH255">
            <v>126.36</v>
          </cell>
        </row>
        <row r="256">
          <cell r="C256">
            <v>39052</v>
          </cell>
          <cell r="D256">
            <v>1257.1199999999999</v>
          </cell>
          <cell r="E256">
            <v>0.15</v>
          </cell>
          <cell r="F256">
            <v>188.57</v>
          </cell>
          <cell r="G256">
            <v>2512.08</v>
          </cell>
          <cell r="H256">
            <v>0.27500000000000002</v>
          </cell>
          <cell r="I256">
            <v>502.58</v>
          </cell>
          <cell r="J256">
            <v>2512.08</v>
          </cell>
          <cell r="K256">
            <v>0.27500000000000002</v>
          </cell>
          <cell r="L256">
            <v>502.58</v>
          </cell>
          <cell r="M256">
            <v>2512.08</v>
          </cell>
          <cell r="N256">
            <v>0.27500000000000002</v>
          </cell>
          <cell r="O256">
            <v>502.58</v>
          </cell>
          <cell r="P256">
            <v>2512.08</v>
          </cell>
          <cell r="Q256">
            <v>0.27500000000000002</v>
          </cell>
          <cell r="R256">
            <v>502.58</v>
          </cell>
          <cell r="S256">
            <v>2512.08</v>
          </cell>
          <cell r="T256">
            <v>0.27500000000000002</v>
          </cell>
          <cell r="U256">
            <v>502.58</v>
          </cell>
          <cell r="V256">
            <v>2512.08</v>
          </cell>
          <cell r="W256">
            <v>0.27500000000000002</v>
          </cell>
          <cell r="X256">
            <v>502.58</v>
          </cell>
          <cell r="Y256">
            <v>2512.08</v>
          </cell>
          <cell r="Z256">
            <v>0.27500000000000002</v>
          </cell>
          <cell r="AA256">
            <v>502.58</v>
          </cell>
          <cell r="AB256">
            <v>2512.08</v>
          </cell>
          <cell r="AC256">
            <v>0.27500000000000002</v>
          </cell>
          <cell r="AD256">
            <v>502.58</v>
          </cell>
          <cell r="AE256">
            <v>2512.08</v>
          </cell>
          <cell r="AF256">
            <v>0.27500000000000002</v>
          </cell>
          <cell r="AG256">
            <v>502.58</v>
          </cell>
          <cell r="AH256">
            <v>126.36</v>
          </cell>
        </row>
        <row r="257">
          <cell r="C257">
            <v>39083</v>
          </cell>
          <cell r="D257">
            <v>1313.69</v>
          </cell>
          <cell r="E257">
            <v>0.15</v>
          </cell>
          <cell r="F257">
            <v>197.05</v>
          </cell>
          <cell r="G257">
            <v>2625.12</v>
          </cell>
          <cell r="H257">
            <v>0.27500000000000002</v>
          </cell>
          <cell r="I257">
            <v>525.19000000000005</v>
          </cell>
          <cell r="J257">
            <v>2625.12</v>
          </cell>
          <cell r="K257">
            <v>0.27500000000000002</v>
          </cell>
          <cell r="L257">
            <v>525.19000000000005</v>
          </cell>
          <cell r="M257">
            <v>2625.12</v>
          </cell>
          <cell r="N257">
            <v>0.27500000000000002</v>
          </cell>
          <cell r="O257">
            <v>525.19000000000005</v>
          </cell>
          <cell r="P257">
            <v>2625.12</v>
          </cell>
          <cell r="Q257">
            <v>0.27500000000000002</v>
          </cell>
          <cell r="R257">
            <v>525.19000000000005</v>
          </cell>
          <cell r="S257">
            <v>2625.12</v>
          </cell>
          <cell r="T257">
            <v>0.27500000000000002</v>
          </cell>
          <cell r="U257">
            <v>525.19000000000005</v>
          </cell>
          <cell r="V257">
            <v>2625.12</v>
          </cell>
          <cell r="W257">
            <v>0.27500000000000002</v>
          </cell>
          <cell r="X257">
            <v>525.19000000000005</v>
          </cell>
          <cell r="Y257">
            <v>2625.12</v>
          </cell>
          <cell r="Z257">
            <v>0.27500000000000002</v>
          </cell>
          <cell r="AA257">
            <v>525.19000000000005</v>
          </cell>
          <cell r="AB257">
            <v>2625.12</v>
          </cell>
          <cell r="AC257">
            <v>0.27500000000000002</v>
          </cell>
          <cell r="AD257">
            <v>525.19000000000005</v>
          </cell>
          <cell r="AE257">
            <v>2625.12</v>
          </cell>
          <cell r="AF257">
            <v>0.27500000000000002</v>
          </cell>
          <cell r="AG257">
            <v>525.19000000000005</v>
          </cell>
          <cell r="AH257">
            <v>132.05000000000001</v>
          </cell>
        </row>
        <row r="258">
          <cell r="C258">
            <v>39114</v>
          </cell>
          <cell r="D258">
            <v>1313.69</v>
          </cell>
          <cell r="E258">
            <v>0.15</v>
          </cell>
          <cell r="F258">
            <v>197.05</v>
          </cell>
          <cell r="G258">
            <v>2625.12</v>
          </cell>
          <cell r="H258">
            <v>0.27500000000000002</v>
          </cell>
          <cell r="I258">
            <v>526.19000000000005</v>
          </cell>
          <cell r="J258">
            <v>2625.12</v>
          </cell>
          <cell r="K258">
            <v>0.27500000000000002</v>
          </cell>
          <cell r="L258">
            <v>526.19000000000005</v>
          </cell>
          <cell r="M258">
            <v>2625.12</v>
          </cell>
          <cell r="N258">
            <v>0.27500000000000002</v>
          </cell>
          <cell r="O258">
            <v>526.19000000000005</v>
          </cell>
          <cell r="P258">
            <v>2625.12</v>
          </cell>
          <cell r="Q258">
            <v>0.27500000000000002</v>
          </cell>
          <cell r="R258">
            <v>526.19000000000005</v>
          </cell>
          <cell r="S258">
            <v>2625.12</v>
          </cell>
          <cell r="T258">
            <v>0.27500000000000002</v>
          </cell>
          <cell r="U258">
            <v>526.19000000000005</v>
          </cell>
          <cell r="V258">
            <v>2625.12</v>
          </cell>
          <cell r="W258">
            <v>0.27500000000000002</v>
          </cell>
          <cell r="X258">
            <v>526.19000000000005</v>
          </cell>
          <cell r="Y258">
            <v>2625.12</v>
          </cell>
          <cell r="Z258">
            <v>0.27500000000000002</v>
          </cell>
          <cell r="AA258">
            <v>526.19000000000005</v>
          </cell>
          <cell r="AB258">
            <v>2625.12</v>
          </cell>
          <cell r="AC258">
            <v>0.27500000000000002</v>
          </cell>
          <cell r="AD258">
            <v>526.19000000000005</v>
          </cell>
          <cell r="AE258">
            <v>2625.12</v>
          </cell>
          <cell r="AF258">
            <v>0.27500000000000002</v>
          </cell>
          <cell r="AG258">
            <v>526.19000000000005</v>
          </cell>
          <cell r="AH258">
            <v>132.05000000000001</v>
          </cell>
        </row>
        <row r="259">
          <cell r="C259">
            <v>39142</v>
          </cell>
          <cell r="D259">
            <v>1313.69</v>
          </cell>
          <cell r="E259">
            <v>0.15</v>
          </cell>
          <cell r="F259">
            <v>197.05</v>
          </cell>
          <cell r="G259">
            <v>2625.12</v>
          </cell>
          <cell r="H259">
            <v>0.27500000000000002</v>
          </cell>
          <cell r="I259">
            <v>527.19000000000005</v>
          </cell>
          <cell r="J259">
            <v>2625.12</v>
          </cell>
          <cell r="K259">
            <v>0.27500000000000002</v>
          </cell>
          <cell r="L259">
            <v>527.19000000000005</v>
          </cell>
          <cell r="M259">
            <v>2625.12</v>
          </cell>
          <cell r="N259">
            <v>0.27500000000000002</v>
          </cell>
          <cell r="O259">
            <v>527.19000000000005</v>
          </cell>
          <cell r="P259">
            <v>2625.12</v>
          </cell>
          <cell r="Q259">
            <v>0.27500000000000002</v>
          </cell>
          <cell r="R259">
            <v>527.19000000000005</v>
          </cell>
          <cell r="S259">
            <v>2625.12</v>
          </cell>
          <cell r="T259">
            <v>0.27500000000000002</v>
          </cell>
          <cell r="U259">
            <v>527.19000000000005</v>
          </cell>
          <cell r="V259">
            <v>2625.12</v>
          </cell>
          <cell r="W259">
            <v>0.27500000000000002</v>
          </cell>
          <cell r="X259">
            <v>527.19000000000005</v>
          </cell>
          <cell r="Y259">
            <v>2625.12</v>
          </cell>
          <cell r="Z259">
            <v>0.27500000000000002</v>
          </cell>
          <cell r="AA259">
            <v>527.19000000000005</v>
          </cell>
          <cell r="AB259">
            <v>2625.12</v>
          </cell>
          <cell r="AC259">
            <v>0.27500000000000002</v>
          </cell>
          <cell r="AD259">
            <v>527.19000000000005</v>
          </cell>
          <cell r="AE259">
            <v>2625.12</v>
          </cell>
          <cell r="AF259">
            <v>0.27500000000000002</v>
          </cell>
          <cell r="AG259">
            <v>527.19000000000005</v>
          </cell>
          <cell r="AH259">
            <v>132.05000000000001</v>
          </cell>
        </row>
        <row r="260">
          <cell r="C260">
            <v>39173</v>
          </cell>
          <cell r="D260">
            <v>1313.69</v>
          </cell>
          <cell r="E260">
            <v>0.15</v>
          </cell>
          <cell r="F260">
            <v>197.05</v>
          </cell>
          <cell r="G260">
            <v>2625.12</v>
          </cell>
          <cell r="H260">
            <v>0.27500000000000002</v>
          </cell>
          <cell r="I260">
            <v>528.19000000000005</v>
          </cell>
          <cell r="J260">
            <v>2625.12</v>
          </cell>
          <cell r="K260">
            <v>0.27500000000000002</v>
          </cell>
          <cell r="L260">
            <v>528.19000000000005</v>
          </cell>
          <cell r="M260">
            <v>2625.12</v>
          </cell>
          <cell r="N260">
            <v>0.27500000000000002</v>
          </cell>
          <cell r="O260">
            <v>528.19000000000005</v>
          </cell>
          <cell r="P260">
            <v>2625.12</v>
          </cell>
          <cell r="Q260">
            <v>0.27500000000000002</v>
          </cell>
          <cell r="R260">
            <v>528.19000000000005</v>
          </cell>
          <cell r="S260">
            <v>2625.12</v>
          </cell>
          <cell r="T260">
            <v>0.27500000000000002</v>
          </cell>
          <cell r="U260">
            <v>528.19000000000005</v>
          </cell>
          <cell r="V260">
            <v>2625.12</v>
          </cell>
          <cell r="W260">
            <v>0.27500000000000002</v>
          </cell>
          <cell r="X260">
            <v>528.19000000000005</v>
          </cell>
          <cell r="Y260">
            <v>2625.12</v>
          </cell>
          <cell r="Z260">
            <v>0.27500000000000002</v>
          </cell>
          <cell r="AA260">
            <v>528.19000000000005</v>
          </cell>
          <cell r="AB260">
            <v>2625.12</v>
          </cell>
          <cell r="AC260">
            <v>0.27500000000000002</v>
          </cell>
          <cell r="AD260">
            <v>528.19000000000005</v>
          </cell>
          <cell r="AE260">
            <v>2625.12</v>
          </cell>
          <cell r="AF260">
            <v>0.27500000000000002</v>
          </cell>
          <cell r="AG260">
            <v>528.19000000000005</v>
          </cell>
          <cell r="AH260">
            <v>132.05000000000001</v>
          </cell>
        </row>
        <row r="261">
          <cell r="C261">
            <v>39203</v>
          </cell>
          <cell r="D261">
            <v>1313.69</v>
          </cell>
          <cell r="E261">
            <v>0.15</v>
          </cell>
          <cell r="F261">
            <v>197.05</v>
          </cell>
          <cell r="G261">
            <v>2625.12</v>
          </cell>
          <cell r="H261">
            <v>0.27500000000000002</v>
          </cell>
          <cell r="I261">
            <v>529.19000000000005</v>
          </cell>
          <cell r="J261">
            <v>2625.12</v>
          </cell>
          <cell r="K261">
            <v>0.27500000000000002</v>
          </cell>
          <cell r="L261">
            <v>529.19000000000005</v>
          </cell>
          <cell r="M261">
            <v>2625.12</v>
          </cell>
          <cell r="N261">
            <v>0.27500000000000002</v>
          </cell>
          <cell r="O261">
            <v>529.19000000000005</v>
          </cell>
          <cell r="P261">
            <v>2625.12</v>
          </cell>
          <cell r="Q261">
            <v>0.27500000000000002</v>
          </cell>
          <cell r="R261">
            <v>529.19000000000005</v>
          </cell>
          <cell r="S261">
            <v>2625.12</v>
          </cell>
          <cell r="T261">
            <v>0.27500000000000002</v>
          </cell>
          <cell r="U261">
            <v>529.19000000000005</v>
          </cell>
          <cell r="V261">
            <v>2625.12</v>
          </cell>
          <cell r="W261">
            <v>0.27500000000000002</v>
          </cell>
          <cell r="X261">
            <v>529.19000000000005</v>
          </cell>
          <cell r="Y261">
            <v>2625.12</v>
          </cell>
          <cell r="Z261">
            <v>0.27500000000000002</v>
          </cell>
          <cell r="AA261">
            <v>529.19000000000005</v>
          </cell>
          <cell r="AB261">
            <v>2625.12</v>
          </cell>
          <cell r="AC261">
            <v>0.27500000000000002</v>
          </cell>
          <cell r="AD261">
            <v>529.19000000000005</v>
          </cell>
          <cell r="AE261">
            <v>2625.12</v>
          </cell>
          <cell r="AF261">
            <v>0.27500000000000002</v>
          </cell>
          <cell r="AG261">
            <v>529.19000000000005</v>
          </cell>
          <cell r="AH261">
            <v>132.05000000000001</v>
          </cell>
        </row>
        <row r="262">
          <cell r="C262">
            <v>39234</v>
          </cell>
          <cell r="D262">
            <v>1313.69</v>
          </cell>
          <cell r="E262">
            <v>0.15</v>
          </cell>
          <cell r="F262">
            <v>197.05</v>
          </cell>
          <cell r="G262">
            <v>2625.12</v>
          </cell>
          <cell r="H262">
            <v>0.27500000000000002</v>
          </cell>
          <cell r="I262">
            <v>530.19000000000005</v>
          </cell>
          <cell r="J262">
            <v>2625.12</v>
          </cell>
          <cell r="K262">
            <v>0.27500000000000002</v>
          </cell>
          <cell r="L262">
            <v>530.19000000000005</v>
          </cell>
          <cell r="M262">
            <v>2625.12</v>
          </cell>
          <cell r="N262">
            <v>0.27500000000000002</v>
          </cell>
          <cell r="O262">
            <v>530.19000000000005</v>
          </cell>
          <cell r="P262">
            <v>2625.12</v>
          </cell>
          <cell r="Q262">
            <v>0.27500000000000002</v>
          </cell>
          <cell r="R262">
            <v>530.19000000000005</v>
          </cell>
          <cell r="S262">
            <v>2625.12</v>
          </cell>
          <cell r="T262">
            <v>0.27500000000000002</v>
          </cell>
          <cell r="U262">
            <v>530.19000000000005</v>
          </cell>
          <cell r="V262">
            <v>2625.12</v>
          </cell>
          <cell r="W262">
            <v>0.27500000000000002</v>
          </cell>
          <cell r="X262">
            <v>530.19000000000005</v>
          </cell>
          <cell r="Y262">
            <v>2625.12</v>
          </cell>
          <cell r="Z262">
            <v>0.27500000000000002</v>
          </cell>
          <cell r="AA262">
            <v>530.19000000000005</v>
          </cell>
          <cell r="AB262">
            <v>2625.12</v>
          </cell>
          <cell r="AC262">
            <v>0.27500000000000002</v>
          </cell>
          <cell r="AD262">
            <v>530.19000000000005</v>
          </cell>
          <cell r="AE262">
            <v>2625.12</v>
          </cell>
          <cell r="AF262">
            <v>0.27500000000000002</v>
          </cell>
          <cell r="AG262">
            <v>530.19000000000005</v>
          </cell>
          <cell r="AH262">
            <v>132.05000000000001</v>
          </cell>
        </row>
        <row r="263">
          <cell r="C263">
            <v>39264</v>
          </cell>
          <cell r="D263">
            <v>1313.69</v>
          </cell>
          <cell r="E263">
            <v>0.15</v>
          </cell>
          <cell r="F263">
            <v>197.05</v>
          </cell>
          <cell r="G263">
            <v>2625.12</v>
          </cell>
          <cell r="H263">
            <v>0.27500000000000002</v>
          </cell>
          <cell r="I263">
            <v>531.19000000000005</v>
          </cell>
          <cell r="J263">
            <v>2625.12</v>
          </cell>
          <cell r="K263">
            <v>0.27500000000000002</v>
          </cell>
          <cell r="L263">
            <v>531.19000000000005</v>
          </cell>
          <cell r="M263">
            <v>2625.12</v>
          </cell>
          <cell r="N263">
            <v>0.27500000000000002</v>
          </cell>
          <cell r="O263">
            <v>531.19000000000005</v>
          </cell>
          <cell r="P263">
            <v>2625.12</v>
          </cell>
          <cell r="Q263">
            <v>0.27500000000000002</v>
          </cell>
          <cell r="R263">
            <v>531.19000000000005</v>
          </cell>
          <cell r="S263">
            <v>2625.12</v>
          </cell>
          <cell r="T263">
            <v>0.27500000000000002</v>
          </cell>
          <cell r="U263">
            <v>531.19000000000005</v>
          </cell>
          <cell r="V263">
            <v>2625.12</v>
          </cell>
          <cell r="W263">
            <v>0.27500000000000002</v>
          </cell>
          <cell r="X263">
            <v>531.19000000000005</v>
          </cell>
          <cell r="Y263">
            <v>2625.12</v>
          </cell>
          <cell r="Z263">
            <v>0.27500000000000002</v>
          </cell>
          <cell r="AA263">
            <v>531.19000000000005</v>
          </cell>
          <cell r="AB263">
            <v>2625.12</v>
          </cell>
          <cell r="AC263">
            <v>0.27500000000000002</v>
          </cell>
          <cell r="AD263">
            <v>531.19000000000005</v>
          </cell>
          <cell r="AE263">
            <v>2625.12</v>
          </cell>
          <cell r="AF263">
            <v>0.27500000000000002</v>
          </cell>
          <cell r="AG263">
            <v>531.19000000000005</v>
          </cell>
          <cell r="AH263">
            <v>132.05000000000001</v>
          </cell>
        </row>
        <row r="264">
          <cell r="C264">
            <v>39295</v>
          </cell>
          <cell r="D264">
            <v>1313.69</v>
          </cell>
          <cell r="E264">
            <v>0.15</v>
          </cell>
          <cell r="F264">
            <v>197.05</v>
          </cell>
          <cell r="G264">
            <v>2625.12</v>
          </cell>
          <cell r="H264">
            <v>0.27500000000000002</v>
          </cell>
          <cell r="I264">
            <v>532.19000000000005</v>
          </cell>
          <cell r="J264">
            <v>2625.12</v>
          </cell>
          <cell r="K264">
            <v>0.27500000000000002</v>
          </cell>
          <cell r="L264">
            <v>532.19000000000005</v>
          </cell>
          <cell r="M264">
            <v>2625.12</v>
          </cell>
          <cell r="N264">
            <v>0.27500000000000002</v>
          </cell>
          <cell r="O264">
            <v>532.19000000000005</v>
          </cell>
          <cell r="P264">
            <v>2625.12</v>
          </cell>
          <cell r="Q264">
            <v>0.27500000000000002</v>
          </cell>
          <cell r="R264">
            <v>532.19000000000005</v>
          </cell>
          <cell r="S264">
            <v>2625.12</v>
          </cell>
          <cell r="T264">
            <v>0.27500000000000002</v>
          </cell>
          <cell r="U264">
            <v>532.19000000000005</v>
          </cell>
          <cell r="V264">
            <v>2625.12</v>
          </cell>
          <cell r="W264">
            <v>0.27500000000000002</v>
          </cell>
          <cell r="X264">
            <v>532.19000000000005</v>
          </cell>
          <cell r="Y264">
            <v>2625.12</v>
          </cell>
          <cell r="Z264">
            <v>0.27500000000000002</v>
          </cell>
          <cell r="AA264">
            <v>532.19000000000005</v>
          </cell>
          <cell r="AB264">
            <v>2625.12</v>
          </cell>
          <cell r="AC264">
            <v>0.27500000000000002</v>
          </cell>
          <cell r="AD264">
            <v>532.19000000000005</v>
          </cell>
          <cell r="AE264">
            <v>2625.12</v>
          </cell>
          <cell r="AF264">
            <v>0.27500000000000002</v>
          </cell>
          <cell r="AG264">
            <v>532.19000000000005</v>
          </cell>
          <cell r="AH264">
            <v>132.05000000000001</v>
          </cell>
        </row>
        <row r="265">
          <cell r="C265">
            <v>39326</v>
          </cell>
          <cell r="D265">
            <v>1313.69</v>
          </cell>
          <cell r="E265">
            <v>0.15</v>
          </cell>
          <cell r="F265">
            <v>197.05</v>
          </cell>
          <cell r="G265">
            <v>2625.12</v>
          </cell>
          <cell r="H265">
            <v>0.27500000000000002</v>
          </cell>
          <cell r="I265">
            <v>533.19000000000005</v>
          </cell>
          <cell r="J265">
            <v>2625.12</v>
          </cell>
          <cell r="K265">
            <v>0.27500000000000002</v>
          </cell>
          <cell r="L265">
            <v>533.19000000000005</v>
          </cell>
          <cell r="M265">
            <v>2625.12</v>
          </cell>
          <cell r="N265">
            <v>0.27500000000000002</v>
          </cell>
          <cell r="O265">
            <v>533.19000000000005</v>
          </cell>
          <cell r="P265">
            <v>2625.12</v>
          </cell>
          <cell r="Q265">
            <v>0.27500000000000002</v>
          </cell>
          <cell r="R265">
            <v>533.19000000000005</v>
          </cell>
          <cell r="S265">
            <v>2625.12</v>
          </cell>
          <cell r="T265">
            <v>0.27500000000000002</v>
          </cell>
          <cell r="U265">
            <v>533.19000000000005</v>
          </cell>
          <cell r="V265">
            <v>2625.12</v>
          </cell>
          <cell r="W265">
            <v>0.27500000000000002</v>
          </cell>
          <cell r="X265">
            <v>533.19000000000005</v>
          </cell>
          <cell r="Y265">
            <v>2625.12</v>
          </cell>
          <cell r="Z265">
            <v>0.27500000000000002</v>
          </cell>
          <cell r="AA265">
            <v>533.19000000000005</v>
          </cell>
          <cell r="AB265">
            <v>2625.12</v>
          </cell>
          <cell r="AC265">
            <v>0.27500000000000002</v>
          </cell>
          <cell r="AD265">
            <v>533.19000000000005</v>
          </cell>
          <cell r="AE265">
            <v>2625.12</v>
          </cell>
          <cell r="AF265">
            <v>0.27500000000000002</v>
          </cell>
          <cell r="AG265">
            <v>533.19000000000005</v>
          </cell>
          <cell r="AH265">
            <v>132.05000000000001</v>
          </cell>
        </row>
        <row r="266">
          <cell r="C266">
            <v>39356</v>
          </cell>
          <cell r="D266">
            <v>1313.69</v>
          </cell>
          <cell r="E266">
            <v>0.15</v>
          </cell>
          <cell r="F266">
            <v>197.05</v>
          </cell>
          <cell r="G266">
            <v>2625.12</v>
          </cell>
          <cell r="H266">
            <v>0.27500000000000002</v>
          </cell>
          <cell r="I266">
            <v>534.19000000000005</v>
          </cell>
          <cell r="J266">
            <v>2625.12</v>
          </cell>
          <cell r="K266">
            <v>0.27500000000000002</v>
          </cell>
          <cell r="L266">
            <v>534.19000000000005</v>
          </cell>
          <cell r="M266">
            <v>2625.12</v>
          </cell>
          <cell r="N266">
            <v>0.27500000000000002</v>
          </cell>
          <cell r="O266">
            <v>534.19000000000005</v>
          </cell>
          <cell r="P266">
            <v>2625.12</v>
          </cell>
          <cell r="Q266">
            <v>0.27500000000000002</v>
          </cell>
          <cell r="R266">
            <v>534.19000000000005</v>
          </cell>
          <cell r="S266">
            <v>2625.12</v>
          </cell>
          <cell r="T266">
            <v>0.27500000000000002</v>
          </cell>
          <cell r="U266">
            <v>534.19000000000005</v>
          </cell>
          <cell r="V266">
            <v>2625.12</v>
          </cell>
          <cell r="W266">
            <v>0.27500000000000002</v>
          </cell>
          <cell r="X266">
            <v>534.19000000000005</v>
          </cell>
          <cell r="Y266">
            <v>2625.12</v>
          </cell>
          <cell r="Z266">
            <v>0.27500000000000002</v>
          </cell>
          <cell r="AA266">
            <v>534.19000000000005</v>
          </cell>
          <cell r="AB266">
            <v>2625.12</v>
          </cell>
          <cell r="AC266">
            <v>0.27500000000000002</v>
          </cell>
          <cell r="AD266">
            <v>534.19000000000005</v>
          </cell>
          <cell r="AE266">
            <v>2625.12</v>
          </cell>
          <cell r="AF266">
            <v>0.27500000000000002</v>
          </cell>
          <cell r="AG266">
            <v>534.19000000000005</v>
          </cell>
          <cell r="AH266">
            <v>132.05000000000001</v>
          </cell>
        </row>
        <row r="267">
          <cell r="C267">
            <v>39387</v>
          </cell>
          <cell r="D267">
            <v>1313.69</v>
          </cell>
          <cell r="E267">
            <v>0.15</v>
          </cell>
          <cell r="F267">
            <v>197.05</v>
          </cell>
          <cell r="G267">
            <v>2625.12</v>
          </cell>
          <cell r="H267">
            <v>0.27500000000000002</v>
          </cell>
          <cell r="I267">
            <v>535.19000000000005</v>
          </cell>
          <cell r="J267">
            <v>2625.12</v>
          </cell>
          <cell r="K267">
            <v>0.27500000000000002</v>
          </cell>
          <cell r="L267">
            <v>535.19000000000005</v>
          </cell>
          <cell r="M267">
            <v>2625.12</v>
          </cell>
          <cell r="N267">
            <v>0.27500000000000002</v>
          </cell>
          <cell r="O267">
            <v>535.19000000000005</v>
          </cell>
          <cell r="P267">
            <v>2625.12</v>
          </cell>
          <cell r="Q267">
            <v>0.27500000000000002</v>
          </cell>
          <cell r="R267">
            <v>535.19000000000005</v>
          </cell>
          <cell r="S267">
            <v>2625.12</v>
          </cell>
          <cell r="T267">
            <v>0.27500000000000002</v>
          </cell>
          <cell r="U267">
            <v>535.19000000000005</v>
          </cell>
          <cell r="V267">
            <v>2625.12</v>
          </cell>
          <cell r="W267">
            <v>0.27500000000000002</v>
          </cell>
          <cell r="X267">
            <v>535.19000000000005</v>
          </cell>
          <cell r="Y267">
            <v>2625.12</v>
          </cell>
          <cell r="Z267">
            <v>0.27500000000000002</v>
          </cell>
          <cell r="AA267">
            <v>535.19000000000005</v>
          </cell>
          <cell r="AB267">
            <v>2625.12</v>
          </cell>
          <cell r="AC267">
            <v>0.27500000000000002</v>
          </cell>
          <cell r="AD267">
            <v>535.19000000000005</v>
          </cell>
          <cell r="AE267">
            <v>2625.12</v>
          </cell>
          <cell r="AF267">
            <v>0.27500000000000002</v>
          </cell>
          <cell r="AG267">
            <v>535.19000000000005</v>
          </cell>
          <cell r="AH267">
            <v>132.05000000000001</v>
          </cell>
        </row>
        <row r="268">
          <cell r="C268">
            <v>39417</v>
          </cell>
          <cell r="D268">
            <v>1313.69</v>
          </cell>
          <cell r="E268">
            <v>0.15</v>
          </cell>
          <cell r="F268">
            <v>197.05</v>
          </cell>
          <cell r="G268">
            <v>2625.12</v>
          </cell>
          <cell r="H268">
            <v>0.27500000000000002</v>
          </cell>
          <cell r="I268">
            <v>536.19000000000005</v>
          </cell>
          <cell r="J268">
            <v>2625.12</v>
          </cell>
          <cell r="K268">
            <v>0.27500000000000002</v>
          </cell>
          <cell r="L268">
            <v>536.19000000000005</v>
          </cell>
          <cell r="M268">
            <v>2625.12</v>
          </cell>
          <cell r="N268">
            <v>0.27500000000000002</v>
          </cell>
          <cell r="O268">
            <v>536.19000000000005</v>
          </cell>
          <cell r="P268">
            <v>2625.12</v>
          </cell>
          <cell r="Q268">
            <v>0.27500000000000002</v>
          </cell>
          <cell r="R268">
            <v>536.19000000000005</v>
          </cell>
          <cell r="S268">
            <v>2625.12</v>
          </cell>
          <cell r="T268">
            <v>0.27500000000000002</v>
          </cell>
          <cell r="U268">
            <v>536.19000000000005</v>
          </cell>
          <cell r="V268">
            <v>2625.12</v>
          </cell>
          <cell r="W268">
            <v>0.27500000000000002</v>
          </cell>
          <cell r="X268">
            <v>536.19000000000005</v>
          </cell>
          <cell r="Y268">
            <v>2625.12</v>
          </cell>
          <cell r="Z268">
            <v>0.27500000000000002</v>
          </cell>
          <cell r="AA268">
            <v>536.19000000000005</v>
          </cell>
          <cell r="AB268">
            <v>2625.12</v>
          </cell>
          <cell r="AC268">
            <v>0.27500000000000002</v>
          </cell>
          <cell r="AD268">
            <v>536.19000000000005</v>
          </cell>
          <cell r="AE268">
            <v>2625.12</v>
          </cell>
          <cell r="AF268">
            <v>0.27500000000000002</v>
          </cell>
          <cell r="AG268">
            <v>536.19000000000005</v>
          </cell>
          <cell r="AH268">
            <v>132.05000000000001</v>
          </cell>
        </row>
        <row r="269">
          <cell r="C269">
            <v>39448</v>
          </cell>
          <cell r="D269">
            <v>1372.81</v>
          </cell>
          <cell r="E269">
            <v>0.15</v>
          </cell>
          <cell r="F269">
            <v>205.92</v>
          </cell>
          <cell r="G269">
            <v>2743.25</v>
          </cell>
          <cell r="H269">
            <v>0.27500000000000002</v>
          </cell>
          <cell r="I269">
            <v>548.82000000000005</v>
          </cell>
          <cell r="J269">
            <v>2743.25</v>
          </cell>
          <cell r="K269">
            <v>0.27500000000000002</v>
          </cell>
          <cell r="L269">
            <v>548.82000000000005</v>
          </cell>
          <cell r="M269">
            <v>2743.25</v>
          </cell>
          <cell r="N269">
            <v>0.27500000000000002</v>
          </cell>
          <cell r="O269">
            <v>548.82000000000005</v>
          </cell>
          <cell r="P269">
            <v>2743.25</v>
          </cell>
          <cell r="Q269">
            <v>0.27500000000000002</v>
          </cell>
          <cell r="R269">
            <v>548.82000000000005</v>
          </cell>
          <cell r="S269">
            <v>2743.25</v>
          </cell>
          <cell r="T269">
            <v>0.27500000000000002</v>
          </cell>
          <cell r="U269">
            <v>548.82000000000005</v>
          </cell>
          <cell r="V269">
            <v>2743.25</v>
          </cell>
          <cell r="W269">
            <v>0.27500000000000002</v>
          </cell>
          <cell r="X269">
            <v>548.82000000000005</v>
          </cell>
          <cell r="Y269">
            <v>2743.25</v>
          </cell>
          <cell r="Z269">
            <v>0.27500000000000002</v>
          </cell>
          <cell r="AA269">
            <v>548.82000000000005</v>
          </cell>
          <cell r="AB269">
            <v>2743.25</v>
          </cell>
          <cell r="AC269">
            <v>0.27500000000000002</v>
          </cell>
          <cell r="AD269">
            <v>548.82000000000005</v>
          </cell>
          <cell r="AE269">
            <v>2743.25</v>
          </cell>
          <cell r="AF269">
            <v>0.27500000000000002</v>
          </cell>
          <cell r="AG269">
            <v>548.82000000000005</v>
          </cell>
          <cell r="AH269">
            <v>137.99</v>
          </cell>
        </row>
        <row r="270">
          <cell r="C270">
            <v>39479</v>
          </cell>
          <cell r="D270">
            <v>1372.81</v>
          </cell>
          <cell r="E270">
            <v>0.15</v>
          </cell>
          <cell r="F270">
            <v>205.92</v>
          </cell>
          <cell r="G270">
            <v>2743.25</v>
          </cell>
          <cell r="H270">
            <v>0.27500000000000002</v>
          </cell>
          <cell r="I270">
            <v>548.82000000000005</v>
          </cell>
          <cell r="J270">
            <v>2743.25</v>
          </cell>
          <cell r="K270">
            <v>0.27500000000000002</v>
          </cell>
          <cell r="L270">
            <v>548.82000000000005</v>
          </cell>
          <cell r="M270">
            <v>2743.25</v>
          </cell>
          <cell r="N270">
            <v>0.27500000000000002</v>
          </cell>
          <cell r="O270">
            <v>548.82000000000005</v>
          </cell>
          <cell r="P270">
            <v>2743.25</v>
          </cell>
          <cell r="Q270">
            <v>0.27500000000000002</v>
          </cell>
          <cell r="R270">
            <v>548.82000000000005</v>
          </cell>
          <cell r="S270">
            <v>2743.25</v>
          </cell>
          <cell r="T270">
            <v>0.27500000000000002</v>
          </cell>
          <cell r="U270">
            <v>548.82000000000005</v>
          </cell>
          <cell r="V270">
            <v>2743.25</v>
          </cell>
          <cell r="W270">
            <v>0.27500000000000002</v>
          </cell>
          <cell r="X270">
            <v>548.82000000000005</v>
          </cell>
          <cell r="Y270">
            <v>2743.25</v>
          </cell>
          <cell r="Z270">
            <v>0.27500000000000002</v>
          </cell>
          <cell r="AA270">
            <v>548.82000000000005</v>
          </cell>
          <cell r="AB270">
            <v>2743.25</v>
          </cell>
          <cell r="AC270">
            <v>0.27500000000000002</v>
          </cell>
          <cell r="AD270">
            <v>548.82000000000005</v>
          </cell>
          <cell r="AE270">
            <v>2743.25</v>
          </cell>
          <cell r="AF270">
            <v>0.27500000000000002</v>
          </cell>
          <cell r="AG270">
            <v>548.82000000000005</v>
          </cell>
          <cell r="AH270">
            <v>137.99</v>
          </cell>
        </row>
        <row r="271">
          <cell r="C271">
            <v>39508</v>
          </cell>
          <cell r="D271">
            <v>1372.81</v>
          </cell>
          <cell r="E271">
            <v>0.15</v>
          </cell>
          <cell r="F271">
            <v>205.92</v>
          </cell>
          <cell r="G271">
            <v>2743.25</v>
          </cell>
          <cell r="H271">
            <v>0.27500000000000002</v>
          </cell>
          <cell r="I271">
            <v>548.82000000000005</v>
          </cell>
          <cell r="J271">
            <v>2743.25</v>
          </cell>
          <cell r="K271">
            <v>0.27500000000000002</v>
          </cell>
          <cell r="L271">
            <v>548.82000000000005</v>
          </cell>
          <cell r="M271">
            <v>2743.25</v>
          </cell>
          <cell r="N271">
            <v>0.27500000000000002</v>
          </cell>
          <cell r="O271">
            <v>548.82000000000005</v>
          </cell>
          <cell r="P271">
            <v>2743.25</v>
          </cell>
          <cell r="Q271">
            <v>0.27500000000000002</v>
          </cell>
          <cell r="R271">
            <v>548.82000000000005</v>
          </cell>
          <cell r="S271">
            <v>2743.25</v>
          </cell>
          <cell r="T271">
            <v>0.27500000000000002</v>
          </cell>
          <cell r="U271">
            <v>548.82000000000005</v>
          </cell>
          <cell r="V271">
            <v>2743.25</v>
          </cell>
          <cell r="W271">
            <v>0.27500000000000002</v>
          </cell>
          <cell r="X271">
            <v>548.82000000000005</v>
          </cell>
          <cell r="Y271">
            <v>2743.25</v>
          </cell>
          <cell r="Z271">
            <v>0.27500000000000002</v>
          </cell>
          <cell r="AA271">
            <v>548.82000000000005</v>
          </cell>
          <cell r="AB271">
            <v>2743.25</v>
          </cell>
          <cell r="AC271">
            <v>0.27500000000000002</v>
          </cell>
          <cell r="AD271">
            <v>548.82000000000005</v>
          </cell>
          <cell r="AE271">
            <v>2743.25</v>
          </cell>
          <cell r="AF271">
            <v>0.27500000000000002</v>
          </cell>
          <cell r="AG271">
            <v>548.82000000000005</v>
          </cell>
          <cell r="AH271">
            <v>137.99</v>
          </cell>
        </row>
        <row r="272">
          <cell r="C272">
            <v>39539</v>
          </cell>
          <cell r="D272">
            <v>1372.81</v>
          </cell>
          <cell r="E272">
            <v>0.15</v>
          </cell>
          <cell r="F272">
            <v>205.92</v>
          </cell>
          <cell r="G272">
            <v>2743.25</v>
          </cell>
          <cell r="H272">
            <v>0.27500000000000002</v>
          </cell>
          <cell r="I272">
            <v>548.82000000000005</v>
          </cell>
          <cell r="J272">
            <v>2743.25</v>
          </cell>
          <cell r="K272">
            <v>0.27500000000000002</v>
          </cell>
          <cell r="L272">
            <v>548.82000000000005</v>
          </cell>
          <cell r="M272">
            <v>2743.25</v>
          </cell>
          <cell r="N272">
            <v>0.27500000000000002</v>
          </cell>
          <cell r="O272">
            <v>548.82000000000005</v>
          </cell>
          <cell r="P272">
            <v>2743.25</v>
          </cell>
          <cell r="Q272">
            <v>0.27500000000000002</v>
          </cell>
          <cell r="R272">
            <v>548.82000000000005</v>
          </cell>
          <cell r="S272">
            <v>2743.25</v>
          </cell>
          <cell r="T272">
            <v>0.27500000000000002</v>
          </cell>
          <cell r="U272">
            <v>548.82000000000005</v>
          </cell>
          <cell r="V272">
            <v>2743.25</v>
          </cell>
          <cell r="W272">
            <v>0.27500000000000002</v>
          </cell>
          <cell r="X272">
            <v>548.82000000000005</v>
          </cell>
          <cell r="Y272">
            <v>2743.25</v>
          </cell>
          <cell r="Z272">
            <v>0.27500000000000002</v>
          </cell>
          <cell r="AA272">
            <v>548.82000000000005</v>
          </cell>
          <cell r="AB272">
            <v>2743.25</v>
          </cell>
          <cell r="AC272">
            <v>0.27500000000000002</v>
          </cell>
          <cell r="AD272">
            <v>548.82000000000005</v>
          </cell>
          <cell r="AE272">
            <v>2743.25</v>
          </cell>
          <cell r="AF272">
            <v>0.27500000000000002</v>
          </cell>
          <cell r="AG272">
            <v>548.82000000000005</v>
          </cell>
          <cell r="AH272">
            <v>137.99</v>
          </cell>
        </row>
        <row r="273">
          <cell r="C273">
            <v>39569</v>
          </cell>
          <cell r="D273">
            <v>1372.81</v>
          </cell>
          <cell r="E273">
            <v>0.15</v>
          </cell>
          <cell r="F273">
            <v>205.92</v>
          </cell>
          <cell r="G273">
            <v>2743.25</v>
          </cell>
          <cell r="H273">
            <v>0.27500000000000002</v>
          </cell>
          <cell r="I273">
            <v>548.82000000000005</v>
          </cell>
          <cell r="J273">
            <v>2743.25</v>
          </cell>
          <cell r="K273">
            <v>0.27500000000000002</v>
          </cell>
          <cell r="L273">
            <v>548.82000000000005</v>
          </cell>
          <cell r="M273">
            <v>2743.25</v>
          </cell>
          <cell r="N273">
            <v>0.27500000000000002</v>
          </cell>
          <cell r="O273">
            <v>548.82000000000005</v>
          </cell>
          <cell r="P273">
            <v>2743.25</v>
          </cell>
          <cell r="Q273">
            <v>0.27500000000000002</v>
          </cell>
          <cell r="R273">
            <v>548.82000000000005</v>
          </cell>
          <cell r="S273">
            <v>2743.25</v>
          </cell>
          <cell r="T273">
            <v>0.27500000000000002</v>
          </cell>
          <cell r="U273">
            <v>548.82000000000005</v>
          </cell>
          <cell r="V273">
            <v>2743.25</v>
          </cell>
          <cell r="W273">
            <v>0.27500000000000002</v>
          </cell>
          <cell r="X273">
            <v>548.82000000000005</v>
          </cell>
          <cell r="Y273">
            <v>2743.25</v>
          </cell>
          <cell r="Z273">
            <v>0.27500000000000002</v>
          </cell>
          <cell r="AA273">
            <v>548.82000000000005</v>
          </cell>
          <cell r="AB273">
            <v>2743.25</v>
          </cell>
          <cell r="AC273">
            <v>0.27500000000000002</v>
          </cell>
          <cell r="AD273">
            <v>548.82000000000005</v>
          </cell>
          <cell r="AE273">
            <v>2743.25</v>
          </cell>
          <cell r="AF273">
            <v>0.27500000000000002</v>
          </cell>
          <cell r="AG273">
            <v>548.82000000000005</v>
          </cell>
          <cell r="AH273">
            <v>137.99</v>
          </cell>
        </row>
        <row r="274">
          <cell r="C274">
            <v>39600</v>
          </cell>
          <cell r="D274">
            <v>1372.81</v>
          </cell>
          <cell r="E274">
            <v>0.15</v>
          </cell>
          <cell r="F274">
            <v>205.92</v>
          </cell>
          <cell r="G274">
            <v>2743.25</v>
          </cell>
          <cell r="H274">
            <v>0.27500000000000002</v>
          </cell>
          <cell r="I274">
            <v>548.82000000000005</v>
          </cell>
          <cell r="J274">
            <v>2743.25</v>
          </cell>
          <cell r="K274">
            <v>0.27500000000000002</v>
          </cell>
          <cell r="L274">
            <v>548.82000000000005</v>
          </cell>
          <cell r="M274">
            <v>2743.25</v>
          </cell>
          <cell r="N274">
            <v>0.27500000000000002</v>
          </cell>
          <cell r="O274">
            <v>548.82000000000005</v>
          </cell>
          <cell r="P274">
            <v>2743.25</v>
          </cell>
          <cell r="Q274">
            <v>0.27500000000000002</v>
          </cell>
          <cell r="R274">
            <v>548.82000000000005</v>
          </cell>
          <cell r="S274">
            <v>2743.25</v>
          </cell>
          <cell r="T274">
            <v>0.27500000000000002</v>
          </cell>
          <cell r="U274">
            <v>548.82000000000005</v>
          </cell>
          <cell r="V274">
            <v>2743.25</v>
          </cell>
          <cell r="W274">
            <v>0.27500000000000002</v>
          </cell>
          <cell r="X274">
            <v>548.82000000000005</v>
          </cell>
          <cell r="Y274">
            <v>2743.25</v>
          </cell>
          <cell r="Z274">
            <v>0.27500000000000002</v>
          </cell>
          <cell r="AA274">
            <v>548.82000000000005</v>
          </cell>
          <cell r="AB274">
            <v>2743.25</v>
          </cell>
          <cell r="AC274">
            <v>0.27500000000000002</v>
          </cell>
          <cell r="AD274">
            <v>548.82000000000005</v>
          </cell>
          <cell r="AE274">
            <v>2743.25</v>
          </cell>
          <cell r="AF274">
            <v>0.27500000000000002</v>
          </cell>
          <cell r="AG274">
            <v>548.82000000000005</v>
          </cell>
          <cell r="AH274">
            <v>137.99</v>
          </cell>
        </row>
        <row r="275">
          <cell r="C275">
            <v>39630</v>
          </cell>
          <cell r="D275">
            <v>1372.81</v>
          </cell>
          <cell r="E275">
            <v>0.15</v>
          </cell>
          <cell r="F275">
            <v>205.92</v>
          </cell>
          <cell r="G275">
            <v>2743.25</v>
          </cell>
          <cell r="H275">
            <v>0.27500000000000002</v>
          </cell>
          <cell r="I275">
            <v>548.82000000000005</v>
          </cell>
          <cell r="J275">
            <v>2743.25</v>
          </cell>
          <cell r="K275">
            <v>0.27500000000000002</v>
          </cell>
          <cell r="L275">
            <v>548.82000000000005</v>
          </cell>
          <cell r="M275">
            <v>2743.25</v>
          </cell>
          <cell r="N275">
            <v>0.27500000000000002</v>
          </cell>
          <cell r="O275">
            <v>548.82000000000005</v>
          </cell>
          <cell r="P275">
            <v>2743.25</v>
          </cell>
          <cell r="Q275">
            <v>0.27500000000000002</v>
          </cell>
          <cell r="R275">
            <v>548.82000000000005</v>
          </cell>
          <cell r="S275">
            <v>2743.25</v>
          </cell>
          <cell r="T275">
            <v>0.27500000000000002</v>
          </cell>
          <cell r="U275">
            <v>548.82000000000005</v>
          </cell>
          <cell r="V275">
            <v>2743.25</v>
          </cell>
          <cell r="W275">
            <v>0.27500000000000002</v>
          </cell>
          <cell r="X275">
            <v>548.82000000000005</v>
          </cell>
          <cell r="Y275">
            <v>2743.25</v>
          </cell>
          <cell r="Z275">
            <v>0.27500000000000002</v>
          </cell>
          <cell r="AA275">
            <v>548.82000000000005</v>
          </cell>
          <cell r="AB275">
            <v>2743.25</v>
          </cell>
          <cell r="AC275">
            <v>0.27500000000000002</v>
          </cell>
          <cell r="AD275">
            <v>548.82000000000005</v>
          </cell>
          <cell r="AE275">
            <v>2743.25</v>
          </cell>
          <cell r="AF275">
            <v>0.27500000000000002</v>
          </cell>
          <cell r="AG275">
            <v>548.82000000000005</v>
          </cell>
          <cell r="AH275">
            <v>137.99</v>
          </cell>
        </row>
        <row r="276">
          <cell r="C276">
            <v>39661</v>
          </cell>
          <cell r="D276">
            <v>1372.81</v>
          </cell>
          <cell r="E276">
            <v>0.15</v>
          </cell>
          <cell r="F276">
            <v>205.92</v>
          </cell>
          <cell r="G276">
            <v>2743.25</v>
          </cell>
          <cell r="H276">
            <v>0.27500000000000002</v>
          </cell>
          <cell r="I276">
            <v>548.82000000000005</v>
          </cell>
          <cell r="J276">
            <v>2743.25</v>
          </cell>
          <cell r="K276">
            <v>0.27500000000000002</v>
          </cell>
          <cell r="L276">
            <v>548.82000000000005</v>
          </cell>
          <cell r="M276">
            <v>2743.25</v>
          </cell>
          <cell r="N276">
            <v>0.27500000000000002</v>
          </cell>
          <cell r="O276">
            <v>548.82000000000005</v>
          </cell>
          <cell r="P276">
            <v>2743.25</v>
          </cell>
          <cell r="Q276">
            <v>0.27500000000000002</v>
          </cell>
          <cell r="R276">
            <v>548.82000000000005</v>
          </cell>
          <cell r="S276">
            <v>2743.25</v>
          </cell>
          <cell r="T276">
            <v>0.27500000000000002</v>
          </cell>
          <cell r="U276">
            <v>548.82000000000005</v>
          </cell>
          <cell r="V276">
            <v>2743.25</v>
          </cell>
          <cell r="W276">
            <v>0.27500000000000002</v>
          </cell>
          <cell r="X276">
            <v>548.82000000000005</v>
          </cell>
          <cell r="Y276">
            <v>2743.25</v>
          </cell>
          <cell r="Z276">
            <v>0.27500000000000002</v>
          </cell>
          <cell r="AA276">
            <v>548.82000000000005</v>
          </cell>
          <cell r="AB276">
            <v>2743.25</v>
          </cell>
          <cell r="AC276">
            <v>0.27500000000000002</v>
          </cell>
          <cell r="AD276">
            <v>548.82000000000005</v>
          </cell>
          <cell r="AE276">
            <v>2743.25</v>
          </cell>
          <cell r="AF276">
            <v>0.27500000000000002</v>
          </cell>
          <cell r="AG276">
            <v>548.82000000000005</v>
          </cell>
          <cell r="AH276">
            <v>137.99</v>
          </cell>
        </row>
        <row r="277">
          <cell r="C277">
            <v>39692</v>
          </cell>
          <cell r="D277">
            <v>1372.81</v>
          </cell>
          <cell r="E277">
            <v>0.15</v>
          </cell>
          <cell r="F277">
            <v>205.92</v>
          </cell>
          <cell r="G277">
            <v>2743.25</v>
          </cell>
          <cell r="H277">
            <v>0.27500000000000002</v>
          </cell>
          <cell r="I277">
            <v>548.82000000000005</v>
          </cell>
          <cell r="J277">
            <v>2743.25</v>
          </cell>
          <cell r="K277">
            <v>0.27500000000000002</v>
          </cell>
          <cell r="L277">
            <v>548.82000000000005</v>
          </cell>
          <cell r="M277">
            <v>2743.25</v>
          </cell>
          <cell r="N277">
            <v>0.27500000000000002</v>
          </cell>
          <cell r="O277">
            <v>548.82000000000005</v>
          </cell>
          <cell r="P277">
            <v>2743.25</v>
          </cell>
          <cell r="Q277">
            <v>0.27500000000000002</v>
          </cell>
          <cell r="R277">
            <v>548.82000000000005</v>
          </cell>
          <cell r="S277">
            <v>2743.25</v>
          </cell>
          <cell r="T277">
            <v>0.27500000000000002</v>
          </cell>
          <cell r="U277">
            <v>548.82000000000005</v>
          </cell>
          <cell r="V277">
            <v>2743.25</v>
          </cell>
          <cell r="W277">
            <v>0.27500000000000002</v>
          </cell>
          <cell r="X277">
            <v>548.82000000000005</v>
          </cell>
          <cell r="Y277">
            <v>2743.25</v>
          </cell>
          <cell r="Z277">
            <v>0.27500000000000002</v>
          </cell>
          <cell r="AA277">
            <v>548.82000000000005</v>
          </cell>
          <cell r="AB277">
            <v>2743.25</v>
          </cell>
          <cell r="AC277">
            <v>0.27500000000000002</v>
          </cell>
          <cell r="AD277">
            <v>548.82000000000005</v>
          </cell>
          <cell r="AE277">
            <v>2743.25</v>
          </cell>
          <cell r="AF277">
            <v>0.27500000000000002</v>
          </cell>
          <cell r="AG277">
            <v>548.82000000000005</v>
          </cell>
          <cell r="AH277">
            <v>137.99</v>
          </cell>
        </row>
        <row r="278">
          <cell r="C278">
            <v>39722</v>
          </cell>
          <cell r="D278">
            <v>1372.81</v>
          </cell>
          <cell r="E278">
            <v>0.15</v>
          </cell>
          <cell r="F278">
            <v>205.92</v>
          </cell>
          <cell r="G278">
            <v>2743.25</v>
          </cell>
          <cell r="H278">
            <v>0.27500000000000002</v>
          </cell>
          <cell r="I278">
            <v>548.82000000000005</v>
          </cell>
          <cell r="J278">
            <v>2743.25</v>
          </cell>
          <cell r="K278">
            <v>0.27500000000000002</v>
          </cell>
          <cell r="L278">
            <v>548.82000000000005</v>
          </cell>
          <cell r="M278">
            <v>2743.25</v>
          </cell>
          <cell r="N278">
            <v>0.27500000000000002</v>
          </cell>
          <cell r="O278">
            <v>548.82000000000005</v>
          </cell>
          <cell r="P278">
            <v>2743.25</v>
          </cell>
          <cell r="Q278">
            <v>0.27500000000000002</v>
          </cell>
          <cell r="R278">
            <v>548.82000000000005</v>
          </cell>
          <cell r="S278">
            <v>2743.25</v>
          </cell>
          <cell r="T278">
            <v>0.27500000000000002</v>
          </cell>
          <cell r="U278">
            <v>548.82000000000005</v>
          </cell>
          <cell r="V278">
            <v>2743.25</v>
          </cell>
          <cell r="W278">
            <v>0.27500000000000002</v>
          </cell>
          <cell r="X278">
            <v>548.82000000000005</v>
          </cell>
          <cell r="Y278">
            <v>2743.25</v>
          </cell>
          <cell r="Z278">
            <v>0.27500000000000002</v>
          </cell>
          <cell r="AA278">
            <v>548.82000000000005</v>
          </cell>
          <cell r="AB278">
            <v>2743.25</v>
          </cell>
          <cell r="AC278">
            <v>0.27500000000000002</v>
          </cell>
          <cell r="AD278">
            <v>548.82000000000005</v>
          </cell>
          <cell r="AE278">
            <v>2743.25</v>
          </cell>
          <cell r="AF278">
            <v>0.27500000000000002</v>
          </cell>
          <cell r="AG278">
            <v>548.82000000000005</v>
          </cell>
          <cell r="AH278">
            <v>137.99</v>
          </cell>
        </row>
        <row r="279">
          <cell r="C279">
            <v>39753</v>
          </cell>
          <cell r="D279">
            <v>1372.81</v>
          </cell>
          <cell r="E279">
            <v>0.15</v>
          </cell>
          <cell r="F279">
            <v>205.92</v>
          </cell>
          <cell r="G279">
            <v>2743.25</v>
          </cell>
          <cell r="H279">
            <v>0.27500000000000002</v>
          </cell>
          <cell r="I279">
            <v>548.82000000000005</v>
          </cell>
          <cell r="J279">
            <v>2743.25</v>
          </cell>
          <cell r="K279">
            <v>0.27500000000000002</v>
          </cell>
          <cell r="L279">
            <v>548.82000000000005</v>
          </cell>
          <cell r="M279">
            <v>2743.25</v>
          </cell>
          <cell r="N279">
            <v>0.27500000000000002</v>
          </cell>
          <cell r="O279">
            <v>548.82000000000005</v>
          </cell>
          <cell r="P279">
            <v>2743.25</v>
          </cell>
          <cell r="Q279">
            <v>0.27500000000000002</v>
          </cell>
          <cell r="R279">
            <v>548.82000000000005</v>
          </cell>
          <cell r="S279">
            <v>2743.25</v>
          </cell>
          <cell r="T279">
            <v>0.27500000000000002</v>
          </cell>
          <cell r="U279">
            <v>548.82000000000005</v>
          </cell>
          <cell r="V279">
            <v>2743.25</v>
          </cell>
          <cell r="W279">
            <v>0.27500000000000002</v>
          </cell>
          <cell r="X279">
            <v>548.82000000000005</v>
          </cell>
          <cell r="Y279">
            <v>2743.25</v>
          </cell>
          <cell r="Z279">
            <v>0.27500000000000002</v>
          </cell>
          <cell r="AA279">
            <v>548.82000000000005</v>
          </cell>
          <cell r="AB279">
            <v>2743.25</v>
          </cell>
          <cell r="AC279">
            <v>0.27500000000000002</v>
          </cell>
          <cell r="AD279">
            <v>548.82000000000005</v>
          </cell>
          <cell r="AE279">
            <v>2743.25</v>
          </cell>
          <cell r="AF279">
            <v>0.27500000000000002</v>
          </cell>
          <cell r="AG279">
            <v>548.82000000000005</v>
          </cell>
          <cell r="AH279">
            <v>137.99</v>
          </cell>
        </row>
        <row r="280">
          <cell r="C280">
            <v>39783</v>
          </cell>
          <cell r="D280">
            <v>1372.81</v>
          </cell>
          <cell r="E280">
            <v>0.15</v>
          </cell>
          <cell r="F280">
            <v>205.92</v>
          </cell>
          <cell r="G280">
            <v>2743.25</v>
          </cell>
          <cell r="H280">
            <v>0.27500000000000002</v>
          </cell>
          <cell r="I280">
            <v>548.82000000000005</v>
          </cell>
          <cell r="J280">
            <v>2743.25</v>
          </cell>
          <cell r="K280">
            <v>0.27500000000000002</v>
          </cell>
          <cell r="L280">
            <v>548.82000000000005</v>
          </cell>
          <cell r="M280">
            <v>2743.25</v>
          </cell>
          <cell r="N280">
            <v>0.27500000000000002</v>
          </cell>
          <cell r="O280">
            <v>548.82000000000005</v>
          </cell>
          <cell r="P280">
            <v>2743.25</v>
          </cell>
          <cell r="Q280">
            <v>0.27500000000000002</v>
          </cell>
          <cell r="R280">
            <v>548.82000000000005</v>
          </cell>
          <cell r="S280">
            <v>2743.25</v>
          </cell>
          <cell r="T280">
            <v>0.27500000000000002</v>
          </cell>
          <cell r="U280">
            <v>548.82000000000005</v>
          </cell>
          <cell r="V280">
            <v>2743.25</v>
          </cell>
          <cell r="W280">
            <v>0.27500000000000002</v>
          </cell>
          <cell r="X280">
            <v>548.82000000000005</v>
          </cell>
          <cell r="Y280">
            <v>2743.25</v>
          </cell>
          <cell r="Z280">
            <v>0.27500000000000002</v>
          </cell>
          <cell r="AA280">
            <v>548.82000000000005</v>
          </cell>
          <cell r="AB280">
            <v>2743.25</v>
          </cell>
          <cell r="AC280">
            <v>0.27500000000000002</v>
          </cell>
          <cell r="AD280">
            <v>548.82000000000005</v>
          </cell>
          <cell r="AE280">
            <v>2743.25</v>
          </cell>
          <cell r="AF280">
            <v>0.27500000000000002</v>
          </cell>
          <cell r="AG280">
            <v>548.82000000000005</v>
          </cell>
          <cell r="AH280">
            <v>137.99</v>
          </cell>
        </row>
        <row r="281">
          <cell r="C281">
            <v>39814</v>
          </cell>
          <cell r="D281">
            <v>1434.59</v>
          </cell>
          <cell r="E281">
            <v>7.4999999999999997E-2</v>
          </cell>
          <cell r="F281">
            <v>107.59</v>
          </cell>
          <cell r="G281">
            <v>2150</v>
          </cell>
          <cell r="H281">
            <v>0.15</v>
          </cell>
          <cell r="I281">
            <v>268.83999999999997</v>
          </cell>
          <cell r="J281">
            <v>2866.7</v>
          </cell>
          <cell r="K281">
            <v>0.22500000000000001</v>
          </cell>
          <cell r="L281">
            <v>483.84</v>
          </cell>
          <cell r="M281">
            <v>3582</v>
          </cell>
          <cell r="N281">
            <v>0.27500000000000002</v>
          </cell>
          <cell r="O281">
            <v>662.94</v>
          </cell>
          <cell r="P281">
            <v>3582</v>
          </cell>
          <cell r="Q281">
            <v>0.27500000000000002</v>
          </cell>
          <cell r="R281">
            <v>662.94</v>
          </cell>
          <cell r="S281">
            <v>3582</v>
          </cell>
          <cell r="T281">
            <v>0.27500000000000002</v>
          </cell>
          <cell r="U281">
            <v>662.94</v>
          </cell>
          <cell r="V281">
            <v>3582</v>
          </cell>
          <cell r="W281">
            <v>0.27500000000000002</v>
          </cell>
          <cell r="X281">
            <v>662.94</v>
          </cell>
          <cell r="Y281">
            <v>3582</v>
          </cell>
          <cell r="Z281">
            <v>0.27500000000000002</v>
          </cell>
          <cell r="AA281">
            <v>662.94</v>
          </cell>
          <cell r="AB281">
            <v>3582</v>
          </cell>
          <cell r="AC281">
            <v>0.27500000000000002</v>
          </cell>
          <cell r="AD281">
            <v>662.94</v>
          </cell>
          <cell r="AE281">
            <v>3582</v>
          </cell>
          <cell r="AF281">
            <v>0.27500000000000002</v>
          </cell>
          <cell r="AG281">
            <v>662.94</v>
          </cell>
          <cell r="AH281">
            <v>144.19999999999999</v>
          </cell>
        </row>
        <row r="282">
          <cell r="C282">
            <v>39845</v>
          </cell>
          <cell r="D282">
            <v>1434.59</v>
          </cell>
          <cell r="E282">
            <v>7.4999999999999997E-2</v>
          </cell>
          <cell r="F282">
            <v>107.59</v>
          </cell>
          <cell r="G282">
            <v>2150</v>
          </cell>
          <cell r="H282">
            <v>0.15</v>
          </cell>
          <cell r="I282">
            <v>268.83999999999997</v>
          </cell>
          <cell r="J282">
            <v>2866.7</v>
          </cell>
          <cell r="K282">
            <v>0.22500000000000001</v>
          </cell>
          <cell r="L282">
            <v>483.84</v>
          </cell>
          <cell r="M282">
            <v>3582</v>
          </cell>
          <cell r="N282">
            <v>0.27500000000000002</v>
          </cell>
          <cell r="O282">
            <v>662.94</v>
          </cell>
          <cell r="P282">
            <v>3582</v>
          </cell>
          <cell r="Q282">
            <v>0.27500000000000002</v>
          </cell>
          <cell r="R282">
            <v>662.94</v>
          </cell>
          <cell r="S282">
            <v>3582</v>
          </cell>
          <cell r="T282">
            <v>0.27500000000000002</v>
          </cell>
          <cell r="U282">
            <v>662.94</v>
          </cell>
          <cell r="V282">
            <v>3582</v>
          </cell>
          <cell r="W282">
            <v>0.27500000000000002</v>
          </cell>
          <cell r="X282">
            <v>662.94</v>
          </cell>
          <cell r="Y282">
            <v>3582</v>
          </cell>
          <cell r="Z282">
            <v>0.27500000000000002</v>
          </cell>
          <cell r="AA282">
            <v>662.94</v>
          </cell>
          <cell r="AB282">
            <v>3582</v>
          </cell>
          <cell r="AC282">
            <v>0.27500000000000002</v>
          </cell>
          <cell r="AD282">
            <v>662.94</v>
          </cell>
          <cell r="AE282">
            <v>3582</v>
          </cell>
          <cell r="AF282">
            <v>0.27500000000000002</v>
          </cell>
          <cell r="AG282">
            <v>662.94</v>
          </cell>
          <cell r="AH282">
            <v>144.19999999999999</v>
          </cell>
        </row>
        <row r="283">
          <cell r="C283">
            <v>39873</v>
          </cell>
          <cell r="D283">
            <v>1434.59</v>
          </cell>
          <cell r="E283">
            <v>7.4999999999999997E-2</v>
          </cell>
          <cell r="F283">
            <v>107.59</v>
          </cell>
          <cell r="G283">
            <v>2150</v>
          </cell>
          <cell r="H283">
            <v>0.15</v>
          </cell>
          <cell r="I283">
            <v>268.83999999999997</v>
          </cell>
          <cell r="J283">
            <v>2866.7</v>
          </cell>
          <cell r="K283">
            <v>0.22500000000000001</v>
          </cell>
          <cell r="L283">
            <v>483.84</v>
          </cell>
          <cell r="M283">
            <v>3582</v>
          </cell>
          <cell r="N283">
            <v>0.27500000000000002</v>
          </cell>
          <cell r="O283">
            <v>662.94</v>
          </cell>
          <cell r="P283">
            <v>3582</v>
          </cell>
          <cell r="Q283">
            <v>0.27500000000000002</v>
          </cell>
          <cell r="R283">
            <v>662.94</v>
          </cell>
          <cell r="S283">
            <v>3582</v>
          </cell>
          <cell r="T283">
            <v>0.27500000000000002</v>
          </cell>
          <cell r="U283">
            <v>662.94</v>
          </cell>
          <cell r="V283">
            <v>3582</v>
          </cell>
          <cell r="W283">
            <v>0.27500000000000002</v>
          </cell>
          <cell r="X283">
            <v>662.94</v>
          </cell>
          <cell r="Y283">
            <v>3582</v>
          </cell>
          <cell r="Z283">
            <v>0.27500000000000002</v>
          </cell>
          <cell r="AA283">
            <v>662.94</v>
          </cell>
          <cell r="AB283">
            <v>3582</v>
          </cell>
          <cell r="AC283">
            <v>0.27500000000000002</v>
          </cell>
          <cell r="AD283">
            <v>662.94</v>
          </cell>
          <cell r="AE283">
            <v>3582</v>
          </cell>
          <cell r="AF283">
            <v>0.27500000000000002</v>
          </cell>
          <cell r="AG283">
            <v>662.94</v>
          </cell>
          <cell r="AH283">
            <v>144.19999999999999</v>
          </cell>
        </row>
        <row r="284">
          <cell r="C284">
            <v>39904</v>
          </cell>
          <cell r="D284">
            <v>1434.59</v>
          </cell>
          <cell r="E284">
            <v>7.4999999999999997E-2</v>
          </cell>
          <cell r="F284">
            <v>107.59</v>
          </cell>
          <cell r="G284">
            <v>2150</v>
          </cell>
          <cell r="H284">
            <v>0.15</v>
          </cell>
          <cell r="I284">
            <v>268.83999999999997</v>
          </cell>
          <cell r="J284">
            <v>2866.7</v>
          </cell>
          <cell r="K284">
            <v>0.22500000000000001</v>
          </cell>
          <cell r="L284">
            <v>483.84</v>
          </cell>
          <cell r="M284">
            <v>3582</v>
          </cell>
          <cell r="N284">
            <v>0.27500000000000002</v>
          </cell>
          <cell r="O284">
            <v>662.94</v>
          </cell>
          <cell r="P284">
            <v>3582</v>
          </cell>
          <cell r="Q284">
            <v>0.27500000000000002</v>
          </cell>
          <cell r="R284">
            <v>662.94</v>
          </cell>
          <cell r="S284">
            <v>3582</v>
          </cell>
          <cell r="T284">
            <v>0.27500000000000002</v>
          </cell>
          <cell r="U284">
            <v>662.94</v>
          </cell>
          <cell r="V284">
            <v>3582</v>
          </cell>
          <cell r="W284">
            <v>0.27500000000000002</v>
          </cell>
          <cell r="X284">
            <v>662.94</v>
          </cell>
          <cell r="Y284">
            <v>3582</v>
          </cell>
          <cell r="Z284">
            <v>0.27500000000000002</v>
          </cell>
          <cell r="AA284">
            <v>662.94</v>
          </cell>
          <cell r="AB284">
            <v>3582</v>
          </cell>
          <cell r="AC284">
            <v>0.27500000000000002</v>
          </cell>
          <cell r="AD284">
            <v>662.94</v>
          </cell>
          <cell r="AE284">
            <v>3582</v>
          </cell>
          <cell r="AF284">
            <v>0.27500000000000002</v>
          </cell>
          <cell r="AG284">
            <v>662.94</v>
          </cell>
          <cell r="AH284">
            <v>144.19999999999999</v>
          </cell>
        </row>
        <row r="285">
          <cell r="C285">
            <v>39934</v>
          </cell>
          <cell r="D285">
            <v>1434.59</v>
          </cell>
          <cell r="E285">
            <v>7.4999999999999997E-2</v>
          </cell>
          <cell r="F285">
            <v>107.59</v>
          </cell>
          <cell r="G285">
            <v>2150</v>
          </cell>
          <cell r="H285">
            <v>0.15</v>
          </cell>
          <cell r="I285">
            <v>268.83999999999997</v>
          </cell>
          <cell r="J285">
            <v>2866.7</v>
          </cell>
          <cell r="K285">
            <v>0.22500000000000001</v>
          </cell>
          <cell r="L285">
            <v>483.84</v>
          </cell>
          <cell r="M285">
            <v>3582</v>
          </cell>
          <cell r="N285">
            <v>0.27500000000000002</v>
          </cell>
          <cell r="O285">
            <v>662.94</v>
          </cell>
          <cell r="P285">
            <v>3582</v>
          </cell>
          <cell r="Q285">
            <v>0.27500000000000002</v>
          </cell>
          <cell r="R285">
            <v>662.94</v>
          </cell>
          <cell r="S285">
            <v>3582</v>
          </cell>
          <cell r="T285">
            <v>0.27500000000000002</v>
          </cell>
          <cell r="U285">
            <v>662.94</v>
          </cell>
          <cell r="V285">
            <v>3582</v>
          </cell>
          <cell r="W285">
            <v>0.27500000000000002</v>
          </cell>
          <cell r="X285">
            <v>662.94</v>
          </cell>
          <cell r="Y285">
            <v>3582</v>
          </cell>
          <cell r="Z285">
            <v>0.27500000000000002</v>
          </cell>
          <cell r="AA285">
            <v>662.94</v>
          </cell>
          <cell r="AB285">
            <v>3582</v>
          </cell>
          <cell r="AC285">
            <v>0.27500000000000002</v>
          </cell>
          <cell r="AD285">
            <v>662.94</v>
          </cell>
          <cell r="AE285">
            <v>3582</v>
          </cell>
          <cell r="AF285">
            <v>0.27500000000000002</v>
          </cell>
          <cell r="AG285">
            <v>662.94</v>
          </cell>
          <cell r="AH285">
            <v>144.19999999999999</v>
          </cell>
        </row>
        <row r="286">
          <cell r="C286">
            <v>39965</v>
          </cell>
          <cell r="D286">
            <v>1434.59</v>
          </cell>
          <cell r="E286">
            <v>7.4999999999999997E-2</v>
          </cell>
          <cell r="F286">
            <v>107.59</v>
          </cell>
          <cell r="G286">
            <v>2150</v>
          </cell>
          <cell r="H286">
            <v>0.15</v>
          </cell>
          <cell r="I286">
            <v>268.83999999999997</v>
          </cell>
          <cell r="J286">
            <v>2866.7</v>
          </cell>
          <cell r="K286">
            <v>0.22500000000000001</v>
          </cell>
          <cell r="L286">
            <v>483.84</v>
          </cell>
          <cell r="M286">
            <v>3582</v>
          </cell>
          <cell r="N286">
            <v>0.27500000000000002</v>
          </cell>
          <cell r="O286">
            <v>662.94</v>
          </cell>
          <cell r="P286">
            <v>3582</v>
          </cell>
          <cell r="Q286">
            <v>0.27500000000000002</v>
          </cell>
          <cell r="R286">
            <v>662.94</v>
          </cell>
          <cell r="S286">
            <v>3582</v>
          </cell>
          <cell r="T286">
            <v>0.27500000000000002</v>
          </cell>
          <cell r="U286">
            <v>662.94</v>
          </cell>
          <cell r="V286">
            <v>3582</v>
          </cell>
          <cell r="W286">
            <v>0.27500000000000002</v>
          </cell>
          <cell r="X286">
            <v>662.94</v>
          </cell>
          <cell r="Y286">
            <v>3582</v>
          </cell>
          <cell r="Z286">
            <v>0.27500000000000002</v>
          </cell>
          <cell r="AA286">
            <v>662.94</v>
          </cell>
          <cell r="AB286">
            <v>3582</v>
          </cell>
          <cell r="AC286">
            <v>0.27500000000000002</v>
          </cell>
          <cell r="AD286">
            <v>662.94</v>
          </cell>
          <cell r="AE286">
            <v>3582</v>
          </cell>
          <cell r="AF286">
            <v>0.27500000000000002</v>
          </cell>
          <cell r="AG286">
            <v>662.94</v>
          </cell>
          <cell r="AH286">
            <v>144.19999999999999</v>
          </cell>
        </row>
        <row r="287">
          <cell r="C287">
            <v>39995</v>
          </cell>
          <cell r="D287">
            <v>1434.59</v>
          </cell>
          <cell r="E287">
            <v>7.4999999999999997E-2</v>
          </cell>
          <cell r="F287">
            <v>107.59</v>
          </cell>
          <cell r="G287">
            <v>2150</v>
          </cell>
          <cell r="H287">
            <v>0.15</v>
          </cell>
          <cell r="I287">
            <v>268.83999999999997</v>
          </cell>
          <cell r="J287">
            <v>2866.7</v>
          </cell>
          <cell r="K287">
            <v>0.22500000000000001</v>
          </cell>
          <cell r="L287">
            <v>483.84</v>
          </cell>
          <cell r="M287">
            <v>3582</v>
          </cell>
          <cell r="N287">
            <v>0.27500000000000002</v>
          </cell>
          <cell r="O287">
            <v>662.94</v>
          </cell>
          <cell r="P287">
            <v>3582</v>
          </cell>
          <cell r="Q287">
            <v>0.27500000000000002</v>
          </cell>
          <cell r="R287">
            <v>662.94</v>
          </cell>
          <cell r="S287">
            <v>3582</v>
          </cell>
          <cell r="T287">
            <v>0.27500000000000002</v>
          </cell>
          <cell r="U287">
            <v>662.94</v>
          </cell>
          <cell r="V287">
            <v>3582</v>
          </cell>
          <cell r="W287">
            <v>0.27500000000000002</v>
          </cell>
          <cell r="X287">
            <v>662.94</v>
          </cell>
          <cell r="Y287">
            <v>3582</v>
          </cell>
          <cell r="Z287">
            <v>0.27500000000000002</v>
          </cell>
          <cell r="AA287">
            <v>662.94</v>
          </cell>
          <cell r="AB287">
            <v>3582</v>
          </cell>
          <cell r="AC287">
            <v>0.27500000000000002</v>
          </cell>
          <cell r="AD287">
            <v>662.94</v>
          </cell>
          <cell r="AE287">
            <v>3582</v>
          </cell>
          <cell r="AF287">
            <v>0.27500000000000002</v>
          </cell>
          <cell r="AG287">
            <v>662.94</v>
          </cell>
          <cell r="AH287">
            <v>144.19999999999999</v>
          </cell>
        </row>
        <row r="288">
          <cell r="C288">
            <v>40026</v>
          </cell>
          <cell r="D288">
            <v>1434.59</v>
          </cell>
          <cell r="E288">
            <v>7.4999999999999997E-2</v>
          </cell>
          <cell r="F288">
            <v>107.59</v>
          </cell>
          <cell r="G288">
            <v>2150</v>
          </cell>
          <cell r="H288">
            <v>0.15</v>
          </cell>
          <cell r="I288">
            <v>268.83999999999997</v>
          </cell>
          <cell r="J288">
            <v>2866.7</v>
          </cell>
          <cell r="K288">
            <v>0.22500000000000001</v>
          </cell>
          <cell r="L288">
            <v>483.84</v>
          </cell>
          <cell r="M288">
            <v>3582</v>
          </cell>
          <cell r="N288">
            <v>0.27500000000000002</v>
          </cell>
          <cell r="O288">
            <v>662.94</v>
          </cell>
          <cell r="P288">
            <v>3582</v>
          </cell>
          <cell r="Q288">
            <v>0.27500000000000002</v>
          </cell>
          <cell r="R288">
            <v>662.94</v>
          </cell>
          <cell r="S288">
            <v>3582</v>
          </cell>
          <cell r="T288">
            <v>0.27500000000000002</v>
          </cell>
          <cell r="U288">
            <v>662.94</v>
          </cell>
          <cell r="V288">
            <v>3582</v>
          </cell>
          <cell r="W288">
            <v>0.27500000000000002</v>
          </cell>
          <cell r="X288">
            <v>662.94</v>
          </cell>
          <cell r="Y288">
            <v>3582</v>
          </cell>
          <cell r="Z288">
            <v>0.27500000000000002</v>
          </cell>
          <cell r="AA288">
            <v>662.94</v>
          </cell>
          <cell r="AB288">
            <v>3582</v>
          </cell>
          <cell r="AC288">
            <v>0.27500000000000002</v>
          </cell>
          <cell r="AD288">
            <v>662.94</v>
          </cell>
          <cell r="AE288">
            <v>3582</v>
          </cell>
          <cell r="AF288">
            <v>0.27500000000000002</v>
          </cell>
          <cell r="AG288">
            <v>662.94</v>
          </cell>
          <cell r="AH288">
            <v>144.19999999999999</v>
          </cell>
        </row>
        <row r="289">
          <cell r="C289">
            <v>40057</v>
          </cell>
          <cell r="D289">
            <v>1434.59</v>
          </cell>
          <cell r="E289">
            <v>7.4999999999999997E-2</v>
          </cell>
          <cell r="F289">
            <v>107.59</v>
          </cell>
          <cell r="G289">
            <v>2150</v>
          </cell>
          <cell r="H289">
            <v>0.15</v>
          </cell>
          <cell r="I289">
            <v>268.83999999999997</v>
          </cell>
          <cell r="J289">
            <v>2866.7</v>
          </cell>
          <cell r="K289">
            <v>0.22500000000000001</v>
          </cell>
          <cell r="L289">
            <v>483.84</v>
          </cell>
          <cell r="M289">
            <v>3582</v>
          </cell>
          <cell r="N289">
            <v>0.27500000000000002</v>
          </cell>
          <cell r="O289">
            <v>662.94</v>
          </cell>
          <cell r="P289">
            <v>3582</v>
          </cell>
          <cell r="Q289">
            <v>0.27500000000000002</v>
          </cell>
          <cell r="R289">
            <v>662.94</v>
          </cell>
          <cell r="S289">
            <v>3582</v>
          </cell>
          <cell r="T289">
            <v>0.27500000000000002</v>
          </cell>
          <cell r="U289">
            <v>662.94</v>
          </cell>
          <cell r="V289">
            <v>3582</v>
          </cell>
          <cell r="W289">
            <v>0.27500000000000002</v>
          </cell>
          <cell r="X289">
            <v>662.94</v>
          </cell>
          <cell r="Y289">
            <v>3582</v>
          </cell>
          <cell r="Z289">
            <v>0.27500000000000002</v>
          </cell>
          <cell r="AA289">
            <v>662.94</v>
          </cell>
          <cell r="AB289">
            <v>3582</v>
          </cell>
          <cell r="AC289">
            <v>0.27500000000000002</v>
          </cell>
          <cell r="AD289">
            <v>662.94</v>
          </cell>
          <cell r="AE289">
            <v>3582</v>
          </cell>
          <cell r="AF289">
            <v>0.27500000000000002</v>
          </cell>
          <cell r="AG289">
            <v>662.94</v>
          </cell>
          <cell r="AH289">
            <v>144.19999999999999</v>
          </cell>
        </row>
        <row r="290">
          <cell r="C290">
            <v>40087</v>
          </cell>
          <cell r="D290">
            <v>1434.59</v>
          </cell>
          <cell r="E290">
            <v>7.4999999999999997E-2</v>
          </cell>
          <cell r="F290">
            <v>107.59</v>
          </cell>
          <cell r="G290">
            <v>2150</v>
          </cell>
          <cell r="H290">
            <v>0.15</v>
          </cell>
          <cell r="I290">
            <v>268.83999999999997</v>
          </cell>
          <cell r="J290">
            <v>2866.7</v>
          </cell>
          <cell r="K290">
            <v>0.22500000000000001</v>
          </cell>
          <cell r="L290">
            <v>483.84</v>
          </cell>
          <cell r="M290">
            <v>3582</v>
          </cell>
          <cell r="N290">
            <v>0.27500000000000002</v>
          </cell>
          <cell r="O290">
            <v>662.94</v>
          </cell>
          <cell r="P290">
            <v>3582</v>
          </cell>
          <cell r="Q290">
            <v>0.27500000000000002</v>
          </cell>
          <cell r="R290">
            <v>662.94</v>
          </cell>
          <cell r="S290">
            <v>3582</v>
          </cell>
          <cell r="T290">
            <v>0.27500000000000002</v>
          </cell>
          <cell r="U290">
            <v>662.94</v>
          </cell>
          <cell r="V290">
            <v>3582</v>
          </cell>
          <cell r="W290">
            <v>0.27500000000000002</v>
          </cell>
          <cell r="X290">
            <v>662.94</v>
          </cell>
          <cell r="Y290">
            <v>3582</v>
          </cell>
          <cell r="Z290">
            <v>0.27500000000000002</v>
          </cell>
          <cell r="AA290">
            <v>662.94</v>
          </cell>
          <cell r="AB290">
            <v>3582</v>
          </cell>
          <cell r="AC290">
            <v>0.27500000000000002</v>
          </cell>
          <cell r="AD290">
            <v>662.94</v>
          </cell>
          <cell r="AE290">
            <v>3582</v>
          </cell>
          <cell r="AF290">
            <v>0.27500000000000002</v>
          </cell>
          <cell r="AG290">
            <v>662.94</v>
          </cell>
          <cell r="AH290">
            <v>144.19999999999999</v>
          </cell>
        </row>
        <row r="291">
          <cell r="C291">
            <v>40118</v>
          </cell>
          <cell r="D291">
            <v>1434.59</v>
          </cell>
          <cell r="E291">
            <v>7.4999999999999997E-2</v>
          </cell>
          <cell r="F291">
            <v>107.59</v>
          </cell>
          <cell r="G291">
            <v>2150</v>
          </cell>
          <cell r="H291">
            <v>0.15</v>
          </cell>
          <cell r="I291">
            <v>268.83999999999997</v>
          </cell>
          <cell r="J291">
            <v>2866.7</v>
          </cell>
          <cell r="K291">
            <v>0.22500000000000001</v>
          </cell>
          <cell r="L291">
            <v>483.84</v>
          </cell>
          <cell r="M291">
            <v>3582</v>
          </cell>
          <cell r="N291">
            <v>0.27500000000000002</v>
          </cell>
          <cell r="O291">
            <v>662.94</v>
          </cell>
          <cell r="P291">
            <v>3582</v>
          </cell>
          <cell r="Q291">
            <v>0.27500000000000002</v>
          </cell>
          <cell r="R291">
            <v>662.94</v>
          </cell>
          <cell r="S291">
            <v>3582</v>
          </cell>
          <cell r="T291">
            <v>0.27500000000000002</v>
          </cell>
          <cell r="U291">
            <v>662.94</v>
          </cell>
          <cell r="V291">
            <v>3582</v>
          </cell>
          <cell r="W291">
            <v>0.27500000000000002</v>
          </cell>
          <cell r="X291">
            <v>662.94</v>
          </cell>
          <cell r="Y291">
            <v>3582</v>
          </cell>
          <cell r="Z291">
            <v>0.27500000000000002</v>
          </cell>
          <cell r="AA291">
            <v>662.94</v>
          </cell>
          <cell r="AB291">
            <v>3582</v>
          </cell>
          <cell r="AC291">
            <v>0.27500000000000002</v>
          </cell>
          <cell r="AD291">
            <v>662.94</v>
          </cell>
          <cell r="AE291">
            <v>3582</v>
          </cell>
          <cell r="AF291">
            <v>0.27500000000000002</v>
          </cell>
          <cell r="AG291">
            <v>662.94</v>
          </cell>
          <cell r="AH291">
            <v>144.19999999999999</v>
          </cell>
        </row>
        <row r="292">
          <cell r="C292">
            <v>40148</v>
          </cell>
          <cell r="D292">
            <v>1434.59</v>
          </cell>
          <cell r="E292">
            <v>7.4999999999999997E-2</v>
          </cell>
          <cell r="F292">
            <v>107.59</v>
          </cell>
          <cell r="G292">
            <v>2150</v>
          </cell>
          <cell r="H292">
            <v>0.15</v>
          </cell>
          <cell r="I292">
            <v>268.83999999999997</v>
          </cell>
          <cell r="J292">
            <v>2866.7</v>
          </cell>
          <cell r="K292">
            <v>0.22500000000000001</v>
          </cell>
          <cell r="L292">
            <v>483.84</v>
          </cell>
          <cell r="M292">
            <v>3582</v>
          </cell>
          <cell r="N292">
            <v>0.27500000000000002</v>
          </cell>
          <cell r="O292">
            <v>662.94</v>
          </cell>
          <cell r="P292">
            <v>3582</v>
          </cell>
          <cell r="Q292">
            <v>0.27500000000000002</v>
          </cell>
          <cell r="R292">
            <v>662.94</v>
          </cell>
          <cell r="S292">
            <v>3582</v>
          </cell>
          <cell r="T292">
            <v>0.27500000000000002</v>
          </cell>
          <cell r="U292">
            <v>662.94</v>
          </cell>
          <cell r="V292">
            <v>3582</v>
          </cell>
          <cell r="W292">
            <v>0.27500000000000002</v>
          </cell>
          <cell r="X292">
            <v>662.94</v>
          </cell>
          <cell r="Y292">
            <v>3582</v>
          </cell>
          <cell r="Z292">
            <v>0.27500000000000002</v>
          </cell>
          <cell r="AA292">
            <v>662.94</v>
          </cell>
          <cell r="AB292">
            <v>3582</v>
          </cell>
          <cell r="AC292">
            <v>0.27500000000000002</v>
          </cell>
          <cell r="AD292">
            <v>662.94</v>
          </cell>
          <cell r="AE292">
            <v>3582</v>
          </cell>
          <cell r="AF292">
            <v>0.27500000000000002</v>
          </cell>
          <cell r="AG292">
            <v>662.94</v>
          </cell>
          <cell r="AH292">
            <v>144.19999999999999</v>
          </cell>
        </row>
        <row r="293">
          <cell r="C293">
            <v>40179</v>
          </cell>
          <cell r="D293">
            <v>1499.15</v>
          </cell>
          <cell r="E293">
            <v>7.4999999999999997E-2</v>
          </cell>
          <cell r="F293">
            <v>112.43</v>
          </cell>
          <cell r="G293">
            <v>2246.75</v>
          </cell>
          <cell r="H293">
            <v>0.15</v>
          </cell>
          <cell r="I293">
            <v>280.94</v>
          </cell>
          <cell r="J293">
            <v>2995.7</v>
          </cell>
          <cell r="K293">
            <v>0.22500000000000001</v>
          </cell>
          <cell r="L293">
            <v>505.62</v>
          </cell>
          <cell r="M293">
            <v>3743.19</v>
          </cell>
          <cell r="N293">
            <v>0.27500000000000002</v>
          </cell>
          <cell r="O293">
            <v>692.78</v>
          </cell>
          <cell r="P293">
            <v>3743.19</v>
          </cell>
          <cell r="Q293">
            <v>0.27500000000000002</v>
          </cell>
          <cell r="R293">
            <v>692.78</v>
          </cell>
          <cell r="S293">
            <v>3743.19</v>
          </cell>
          <cell r="T293">
            <v>0.27500000000000002</v>
          </cell>
          <cell r="U293">
            <v>692.78</v>
          </cell>
          <cell r="V293">
            <v>3743.19</v>
          </cell>
          <cell r="W293">
            <v>0.27500000000000002</v>
          </cell>
          <cell r="X293">
            <v>692.78</v>
          </cell>
          <cell r="Y293">
            <v>3743.19</v>
          </cell>
          <cell r="Z293">
            <v>0.27500000000000002</v>
          </cell>
          <cell r="AA293">
            <v>692.78</v>
          </cell>
          <cell r="AB293">
            <v>3743.19</v>
          </cell>
          <cell r="AC293">
            <v>0.27500000000000002</v>
          </cell>
          <cell r="AD293">
            <v>692.78</v>
          </cell>
          <cell r="AE293">
            <v>3743.19</v>
          </cell>
          <cell r="AF293">
            <v>0.27500000000000002</v>
          </cell>
          <cell r="AG293">
            <v>692.78</v>
          </cell>
          <cell r="AH293">
            <v>150.69</v>
          </cell>
        </row>
        <row r="294">
          <cell r="C294">
            <v>40210</v>
          </cell>
          <cell r="D294">
            <v>1499.15</v>
          </cell>
          <cell r="E294">
            <v>7.4999999999999997E-2</v>
          </cell>
          <cell r="F294">
            <v>112.43</v>
          </cell>
          <cell r="G294">
            <v>2246.75</v>
          </cell>
          <cell r="H294">
            <v>0.15</v>
          </cell>
          <cell r="I294">
            <v>280.94</v>
          </cell>
          <cell r="J294">
            <v>2995.7</v>
          </cell>
          <cell r="K294">
            <v>0.22500000000000001</v>
          </cell>
          <cell r="L294">
            <v>505.62</v>
          </cell>
          <cell r="M294">
            <v>3743.19</v>
          </cell>
          <cell r="N294">
            <v>0.27500000000000002</v>
          </cell>
          <cell r="O294">
            <v>692.78</v>
          </cell>
          <cell r="P294">
            <v>3743.19</v>
          </cell>
          <cell r="Q294">
            <v>0.27500000000000002</v>
          </cell>
          <cell r="R294">
            <v>692.78</v>
          </cell>
          <cell r="S294">
            <v>3743.19</v>
          </cell>
          <cell r="T294">
            <v>0.27500000000000002</v>
          </cell>
          <cell r="U294">
            <v>692.78</v>
          </cell>
          <cell r="V294">
            <v>3743.19</v>
          </cell>
          <cell r="W294">
            <v>0.27500000000000002</v>
          </cell>
          <cell r="X294">
            <v>692.78</v>
          </cell>
          <cell r="Y294">
            <v>3743.19</v>
          </cell>
          <cell r="Z294">
            <v>0.27500000000000002</v>
          </cell>
          <cell r="AA294">
            <v>692.78</v>
          </cell>
          <cell r="AB294">
            <v>3743.19</v>
          </cell>
          <cell r="AC294">
            <v>0.27500000000000002</v>
          </cell>
          <cell r="AD294">
            <v>692.78</v>
          </cell>
          <cell r="AE294">
            <v>3743.19</v>
          </cell>
          <cell r="AF294">
            <v>0.27500000000000002</v>
          </cell>
          <cell r="AG294">
            <v>692.78</v>
          </cell>
          <cell r="AH294">
            <v>150.69</v>
          </cell>
        </row>
        <row r="295">
          <cell r="C295">
            <v>40238</v>
          </cell>
          <cell r="D295">
            <v>1499.15</v>
          </cell>
          <cell r="E295">
            <v>7.4999999999999997E-2</v>
          </cell>
          <cell r="F295">
            <v>112.43</v>
          </cell>
          <cell r="G295">
            <v>2246.75</v>
          </cell>
          <cell r="H295">
            <v>0.15</v>
          </cell>
          <cell r="I295">
            <v>280.94</v>
          </cell>
          <cell r="J295">
            <v>2995.7</v>
          </cell>
          <cell r="K295">
            <v>0.22500000000000001</v>
          </cell>
          <cell r="L295">
            <v>505.62</v>
          </cell>
          <cell r="M295">
            <v>3743.19</v>
          </cell>
          <cell r="N295">
            <v>0.27500000000000002</v>
          </cell>
          <cell r="O295">
            <v>692.78</v>
          </cell>
          <cell r="P295">
            <v>3743.19</v>
          </cell>
          <cell r="Q295">
            <v>0.27500000000000002</v>
          </cell>
          <cell r="R295">
            <v>692.78</v>
          </cell>
          <cell r="S295">
            <v>3743.19</v>
          </cell>
          <cell r="T295">
            <v>0.27500000000000002</v>
          </cell>
          <cell r="U295">
            <v>692.78</v>
          </cell>
          <cell r="V295">
            <v>3743.19</v>
          </cell>
          <cell r="W295">
            <v>0.27500000000000002</v>
          </cell>
          <cell r="X295">
            <v>692.78</v>
          </cell>
          <cell r="Y295">
            <v>3743.19</v>
          </cell>
          <cell r="Z295">
            <v>0.27500000000000002</v>
          </cell>
          <cell r="AA295">
            <v>692.78</v>
          </cell>
          <cell r="AB295">
            <v>3743.19</v>
          </cell>
          <cell r="AC295">
            <v>0.27500000000000002</v>
          </cell>
          <cell r="AD295">
            <v>692.78</v>
          </cell>
          <cell r="AE295">
            <v>3743.19</v>
          </cell>
          <cell r="AF295">
            <v>0.27500000000000002</v>
          </cell>
          <cell r="AG295">
            <v>692.78</v>
          </cell>
          <cell r="AH295">
            <v>150.69</v>
          </cell>
        </row>
        <row r="296">
          <cell r="C296">
            <v>40269</v>
          </cell>
          <cell r="D296">
            <v>1499.15</v>
          </cell>
          <cell r="E296">
            <v>7.4999999999999997E-2</v>
          </cell>
          <cell r="F296">
            <v>112.43</v>
          </cell>
          <cell r="G296">
            <v>2246.75</v>
          </cell>
          <cell r="H296">
            <v>0.15</v>
          </cell>
          <cell r="I296">
            <v>280.94</v>
          </cell>
          <cell r="J296">
            <v>2995.7</v>
          </cell>
          <cell r="K296">
            <v>0.22500000000000001</v>
          </cell>
          <cell r="L296">
            <v>505.62</v>
          </cell>
          <cell r="M296">
            <v>3743.19</v>
          </cell>
          <cell r="N296">
            <v>0.27500000000000002</v>
          </cell>
          <cell r="O296">
            <v>692.78</v>
          </cell>
          <cell r="P296">
            <v>3743.19</v>
          </cell>
          <cell r="Q296">
            <v>0.27500000000000002</v>
          </cell>
          <cell r="R296">
            <v>692.78</v>
          </cell>
          <cell r="S296">
            <v>3743.19</v>
          </cell>
          <cell r="T296">
            <v>0.27500000000000002</v>
          </cell>
          <cell r="U296">
            <v>692.78</v>
          </cell>
          <cell r="V296">
            <v>3743.19</v>
          </cell>
          <cell r="W296">
            <v>0.27500000000000002</v>
          </cell>
          <cell r="X296">
            <v>692.78</v>
          </cell>
          <cell r="Y296">
            <v>3743.19</v>
          </cell>
          <cell r="Z296">
            <v>0.27500000000000002</v>
          </cell>
          <cell r="AA296">
            <v>692.78</v>
          </cell>
          <cell r="AB296">
            <v>3743.19</v>
          </cell>
          <cell r="AC296">
            <v>0.27500000000000002</v>
          </cell>
          <cell r="AD296">
            <v>692.78</v>
          </cell>
          <cell r="AE296">
            <v>3743.19</v>
          </cell>
          <cell r="AF296">
            <v>0.27500000000000002</v>
          </cell>
          <cell r="AG296">
            <v>692.78</v>
          </cell>
          <cell r="AH296">
            <v>150.69</v>
          </cell>
        </row>
        <row r="297">
          <cell r="C297">
            <v>40299</v>
          </cell>
          <cell r="D297">
            <v>1499.15</v>
          </cell>
          <cell r="E297">
            <v>7.4999999999999997E-2</v>
          </cell>
          <cell r="F297">
            <v>112.43</v>
          </cell>
          <cell r="G297">
            <v>2246.75</v>
          </cell>
          <cell r="H297">
            <v>0.15</v>
          </cell>
          <cell r="I297">
            <v>280.94</v>
          </cell>
          <cell r="J297">
            <v>2995.7</v>
          </cell>
          <cell r="K297">
            <v>0.22500000000000001</v>
          </cell>
          <cell r="L297">
            <v>505.62</v>
          </cell>
          <cell r="M297">
            <v>3743.19</v>
          </cell>
          <cell r="N297">
            <v>0.27500000000000002</v>
          </cell>
          <cell r="O297">
            <v>692.78</v>
          </cell>
          <cell r="P297">
            <v>3743.19</v>
          </cell>
          <cell r="Q297">
            <v>0.27500000000000002</v>
          </cell>
          <cell r="R297">
            <v>692.78</v>
          </cell>
          <cell r="S297">
            <v>3743.19</v>
          </cell>
          <cell r="T297">
            <v>0.27500000000000002</v>
          </cell>
          <cell r="U297">
            <v>692.78</v>
          </cell>
          <cell r="V297">
            <v>3743.19</v>
          </cell>
          <cell r="W297">
            <v>0.27500000000000002</v>
          </cell>
          <cell r="X297">
            <v>692.78</v>
          </cell>
          <cell r="Y297">
            <v>3743.19</v>
          </cell>
          <cell r="Z297">
            <v>0.27500000000000002</v>
          </cell>
          <cell r="AA297">
            <v>692.78</v>
          </cell>
          <cell r="AB297">
            <v>3743.19</v>
          </cell>
          <cell r="AC297">
            <v>0.27500000000000002</v>
          </cell>
          <cell r="AD297">
            <v>692.78</v>
          </cell>
          <cell r="AE297">
            <v>3743.19</v>
          </cell>
          <cell r="AF297">
            <v>0.27500000000000002</v>
          </cell>
          <cell r="AG297">
            <v>692.78</v>
          </cell>
          <cell r="AH297">
            <v>150.69</v>
          </cell>
        </row>
        <row r="298">
          <cell r="C298">
            <v>40330</v>
          </cell>
          <cell r="D298">
            <v>1499.15</v>
          </cell>
          <cell r="E298">
            <v>7.4999999999999997E-2</v>
          </cell>
          <cell r="F298">
            <v>112.43</v>
          </cell>
          <cell r="G298">
            <v>2246.75</v>
          </cell>
          <cell r="H298">
            <v>0.15</v>
          </cell>
          <cell r="I298">
            <v>280.94</v>
          </cell>
          <cell r="J298">
            <v>2995.7</v>
          </cell>
          <cell r="K298">
            <v>0.22500000000000001</v>
          </cell>
          <cell r="L298">
            <v>505.62</v>
          </cell>
          <cell r="M298">
            <v>3743.19</v>
          </cell>
          <cell r="N298">
            <v>0.27500000000000002</v>
          </cell>
          <cell r="O298">
            <v>692.78</v>
          </cell>
          <cell r="P298">
            <v>3743.19</v>
          </cell>
          <cell r="Q298">
            <v>0.27500000000000002</v>
          </cell>
          <cell r="R298">
            <v>692.78</v>
          </cell>
          <cell r="S298">
            <v>3743.19</v>
          </cell>
          <cell r="T298">
            <v>0.27500000000000002</v>
          </cell>
          <cell r="U298">
            <v>692.78</v>
          </cell>
          <cell r="V298">
            <v>3743.19</v>
          </cell>
          <cell r="W298">
            <v>0.27500000000000002</v>
          </cell>
          <cell r="X298">
            <v>692.78</v>
          </cell>
          <cell r="Y298">
            <v>3743.19</v>
          </cell>
          <cell r="Z298">
            <v>0.27500000000000002</v>
          </cell>
          <cell r="AA298">
            <v>692.78</v>
          </cell>
          <cell r="AB298">
            <v>3743.19</v>
          </cell>
          <cell r="AC298">
            <v>0.27500000000000002</v>
          </cell>
          <cell r="AD298">
            <v>692.78</v>
          </cell>
          <cell r="AE298">
            <v>3743.19</v>
          </cell>
          <cell r="AF298">
            <v>0.27500000000000002</v>
          </cell>
          <cell r="AG298">
            <v>692.78</v>
          </cell>
          <cell r="AH298">
            <v>150.69</v>
          </cell>
        </row>
        <row r="299">
          <cell r="C299">
            <v>40360</v>
          </cell>
          <cell r="D299">
            <v>1499.15</v>
          </cell>
          <cell r="E299">
            <v>7.4999999999999997E-2</v>
          </cell>
          <cell r="F299">
            <v>112.43</v>
          </cell>
          <cell r="G299">
            <v>2246.75</v>
          </cell>
          <cell r="H299">
            <v>0.15</v>
          </cell>
          <cell r="I299">
            <v>280.94</v>
          </cell>
          <cell r="J299">
            <v>2995.7</v>
          </cell>
          <cell r="K299">
            <v>0.22500000000000001</v>
          </cell>
          <cell r="L299">
            <v>505.62</v>
          </cell>
          <cell r="M299">
            <v>3743.19</v>
          </cell>
          <cell r="N299">
            <v>0.27500000000000002</v>
          </cell>
          <cell r="O299">
            <v>692.78</v>
          </cell>
          <cell r="P299">
            <v>3743.19</v>
          </cell>
          <cell r="Q299">
            <v>0.27500000000000002</v>
          </cell>
          <cell r="R299">
            <v>692.78</v>
          </cell>
          <cell r="S299">
            <v>3743.19</v>
          </cell>
          <cell r="T299">
            <v>0.27500000000000002</v>
          </cell>
          <cell r="U299">
            <v>692.78</v>
          </cell>
          <cell r="V299">
            <v>3743.19</v>
          </cell>
          <cell r="W299">
            <v>0.27500000000000002</v>
          </cell>
          <cell r="X299">
            <v>692.78</v>
          </cell>
          <cell r="Y299">
            <v>3743.19</v>
          </cell>
          <cell r="Z299">
            <v>0.27500000000000002</v>
          </cell>
          <cell r="AA299">
            <v>692.78</v>
          </cell>
          <cell r="AB299">
            <v>3743.19</v>
          </cell>
          <cell r="AC299">
            <v>0.27500000000000002</v>
          </cell>
          <cell r="AD299">
            <v>692.78</v>
          </cell>
          <cell r="AE299">
            <v>3743.19</v>
          </cell>
          <cell r="AF299">
            <v>0.27500000000000002</v>
          </cell>
          <cell r="AG299">
            <v>692.78</v>
          </cell>
          <cell r="AH299">
            <v>150.69</v>
          </cell>
        </row>
        <row r="300">
          <cell r="C300">
            <v>40391</v>
          </cell>
          <cell r="D300">
            <v>1499.15</v>
          </cell>
          <cell r="E300">
            <v>7.4999999999999997E-2</v>
          </cell>
          <cell r="F300">
            <v>112.43</v>
          </cell>
          <cell r="G300">
            <v>2246.75</v>
          </cell>
          <cell r="H300">
            <v>0.15</v>
          </cell>
          <cell r="I300">
            <v>280.94</v>
          </cell>
          <cell r="J300">
            <v>2995.7</v>
          </cell>
          <cell r="K300">
            <v>0.22500000000000001</v>
          </cell>
          <cell r="L300">
            <v>505.62</v>
          </cell>
          <cell r="M300">
            <v>3743.19</v>
          </cell>
          <cell r="N300">
            <v>0.27500000000000002</v>
          </cell>
          <cell r="O300">
            <v>692.78</v>
          </cell>
          <cell r="P300">
            <v>3743.19</v>
          </cell>
          <cell r="Q300">
            <v>0.27500000000000002</v>
          </cell>
          <cell r="R300">
            <v>692.78</v>
          </cell>
          <cell r="S300">
            <v>3743.19</v>
          </cell>
          <cell r="T300">
            <v>0.27500000000000002</v>
          </cell>
          <cell r="U300">
            <v>692.78</v>
          </cell>
          <cell r="V300">
            <v>3743.19</v>
          </cell>
          <cell r="W300">
            <v>0.27500000000000002</v>
          </cell>
          <cell r="X300">
            <v>692.78</v>
          </cell>
          <cell r="Y300">
            <v>3743.19</v>
          </cell>
          <cell r="Z300">
            <v>0.27500000000000002</v>
          </cell>
          <cell r="AA300">
            <v>692.78</v>
          </cell>
          <cell r="AB300">
            <v>3743.19</v>
          </cell>
          <cell r="AC300">
            <v>0.27500000000000002</v>
          </cell>
          <cell r="AD300">
            <v>692.78</v>
          </cell>
          <cell r="AE300">
            <v>3743.19</v>
          </cell>
          <cell r="AF300">
            <v>0.27500000000000002</v>
          </cell>
          <cell r="AG300">
            <v>692.78</v>
          </cell>
          <cell r="AH300">
            <v>150.69</v>
          </cell>
        </row>
        <row r="301">
          <cell r="C301">
            <v>40422</v>
          </cell>
          <cell r="D301">
            <v>1499.15</v>
          </cell>
          <cell r="E301">
            <v>7.4999999999999997E-2</v>
          </cell>
          <cell r="F301">
            <v>112.43</v>
          </cell>
          <cell r="G301">
            <v>2246.75</v>
          </cell>
          <cell r="H301">
            <v>0.15</v>
          </cell>
          <cell r="I301">
            <v>280.94</v>
          </cell>
          <cell r="J301">
            <v>2995.7</v>
          </cell>
          <cell r="K301">
            <v>0.22500000000000001</v>
          </cell>
          <cell r="L301">
            <v>505.62</v>
          </cell>
          <cell r="M301">
            <v>3743.19</v>
          </cell>
          <cell r="N301">
            <v>0.27500000000000002</v>
          </cell>
          <cell r="O301">
            <v>692.78</v>
          </cell>
          <cell r="P301">
            <v>3743.19</v>
          </cell>
          <cell r="Q301">
            <v>0.27500000000000002</v>
          </cell>
          <cell r="R301">
            <v>692.78</v>
          </cell>
          <cell r="S301">
            <v>3743.19</v>
          </cell>
          <cell r="T301">
            <v>0.27500000000000002</v>
          </cell>
          <cell r="U301">
            <v>692.78</v>
          </cell>
          <cell r="V301">
            <v>3743.19</v>
          </cell>
          <cell r="W301">
            <v>0.27500000000000002</v>
          </cell>
          <cell r="X301">
            <v>692.78</v>
          </cell>
          <cell r="Y301">
            <v>3743.19</v>
          </cell>
          <cell r="Z301">
            <v>0.27500000000000002</v>
          </cell>
          <cell r="AA301">
            <v>692.78</v>
          </cell>
          <cell r="AB301">
            <v>3743.19</v>
          </cell>
          <cell r="AC301">
            <v>0.27500000000000002</v>
          </cell>
          <cell r="AD301">
            <v>692.78</v>
          </cell>
          <cell r="AE301">
            <v>3743.19</v>
          </cell>
          <cell r="AF301">
            <v>0.27500000000000002</v>
          </cell>
          <cell r="AG301">
            <v>692.78</v>
          </cell>
          <cell r="AH301">
            <v>150.69</v>
          </cell>
        </row>
        <row r="302">
          <cell r="C302">
            <v>40452</v>
          </cell>
          <cell r="D302">
            <v>1499.15</v>
          </cell>
          <cell r="E302">
            <v>7.4999999999999997E-2</v>
          </cell>
          <cell r="F302">
            <v>112.43</v>
          </cell>
          <cell r="G302">
            <v>2246.75</v>
          </cell>
          <cell r="H302">
            <v>0.15</v>
          </cell>
          <cell r="I302">
            <v>280.94</v>
          </cell>
          <cell r="J302">
            <v>2995.7</v>
          </cell>
          <cell r="K302">
            <v>0.22500000000000001</v>
          </cell>
          <cell r="L302">
            <v>505.62</v>
          </cell>
          <cell r="M302">
            <v>3743.19</v>
          </cell>
          <cell r="N302">
            <v>0.27500000000000002</v>
          </cell>
          <cell r="O302">
            <v>692.78</v>
          </cell>
          <cell r="P302">
            <v>3743.19</v>
          </cell>
          <cell r="Q302">
            <v>0.27500000000000002</v>
          </cell>
          <cell r="R302">
            <v>692.78</v>
          </cell>
          <cell r="S302">
            <v>3743.19</v>
          </cell>
          <cell r="T302">
            <v>0.27500000000000002</v>
          </cell>
          <cell r="U302">
            <v>692.78</v>
          </cell>
          <cell r="V302">
            <v>3743.19</v>
          </cell>
          <cell r="W302">
            <v>0.27500000000000002</v>
          </cell>
          <cell r="X302">
            <v>692.78</v>
          </cell>
          <cell r="Y302">
            <v>3743.19</v>
          </cell>
          <cell r="Z302">
            <v>0.27500000000000002</v>
          </cell>
          <cell r="AA302">
            <v>692.78</v>
          </cell>
          <cell r="AB302">
            <v>3743.19</v>
          </cell>
          <cell r="AC302">
            <v>0.27500000000000002</v>
          </cell>
          <cell r="AD302">
            <v>692.78</v>
          </cell>
          <cell r="AE302">
            <v>3743.19</v>
          </cell>
          <cell r="AF302">
            <v>0.27500000000000002</v>
          </cell>
          <cell r="AG302">
            <v>692.78</v>
          </cell>
          <cell r="AH302">
            <v>150.69</v>
          </cell>
        </row>
        <row r="303">
          <cell r="C303">
            <v>40483</v>
          </cell>
          <cell r="D303">
            <v>1499.15</v>
          </cell>
          <cell r="E303">
            <v>7.4999999999999997E-2</v>
          </cell>
          <cell r="F303">
            <v>112.43</v>
          </cell>
          <cell r="G303">
            <v>2246.75</v>
          </cell>
          <cell r="H303">
            <v>0.15</v>
          </cell>
          <cell r="I303">
            <v>280.94</v>
          </cell>
          <cell r="J303">
            <v>2995.7</v>
          </cell>
          <cell r="K303">
            <v>0.22500000000000001</v>
          </cell>
          <cell r="L303">
            <v>505.62</v>
          </cell>
          <cell r="M303">
            <v>3743.19</v>
          </cell>
          <cell r="N303">
            <v>0.27500000000000002</v>
          </cell>
          <cell r="O303">
            <v>692.78</v>
          </cell>
          <cell r="P303">
            <v>3743.19</v>
          </cell>
          <cell r="Q303">
            <v>0.27500000000000002</v>
          </cell>
          <cell r="R303">
            <v>692.78</v>
          </cell>
          <cell r="S303">
            <v>3743.19</v>
          </cell>
          <cell r="T303">
            <v>0.27500000000000002</v>
          </cell>
          <cell r="U303">
            <v>692.78</v>
          </cell>
          <cell r="V303">
            <v>3743.19</v>
          </cell>
          <cell r="W303">
            <v>0.27500000000000002</v>
          </cell>
          <cell r="X303">
            <v>692.78</v>
          </cell>
          <cell r="Y303">
            <v>3743.19</v>
          </cell>
          <cell r="Z303">
            <v>0.27500000000000002</v>
          </cell>
          <cell r="AA303">
            <v>692.78</v>
          </cell>
          <cell r="AB303">
            <v>3743.19</v>
          </cell>
          <cell r="AC303">
            <v>0.27500000000000002</v>
          </cell>
          <cell r="AD303">
            <v>692.78</v>
          </cell>
          <cell r="AE303">
            <v>3743.19</v>
          </cell>
          <cell r="AF303">
            <v>0.27500000000000002</v>
          </cell>
          <cell r="AG303">
            <v>692.78</v>
          </cell>
          <cell r="AH303">
            <v>150.69</v>
          </cell>
        </row>
        <row r="304">
          <cell r="C304">
            <v>40513</v>
          </cell>
          <cell r="D304">
            <v>1499.15</v>
          </cell>
          <cell r="E304">
            <v>7.4999999999999997E-2</v>
          </cell>
          <cell r="F304">
            <v>112.43</v>
          </cell>
          <cell r="G304">
            <v>2246.75</v>
          </cell>
          <cell r="H304">
            <v>0.15</v>
          </cell>
          <cell r="I304">
            <v>280.94</v>
          </cell>
          <cell r="J304">
            <v>2995.7</v>
          </cell>
          <cell r="K304">
            <v>0.22500000000000001</v>
          </cell>
          <cell r="L304">
            <v>505.62</v>
          </cell>
          <cell r="M304">
            <v>3743.19</v>
          </cell>
          <cell r="N304">
            <v>0.27500000000000002</v>
          </cell>
          <cell r="O304">
            <v>692.78</v>
          </cell>
          <cell r="P304">
            <v>3743.19</v>
          </cell>
          <cell r="Q304">
            <v>0.27500000000000002</v>
          </cell>
          <cell r="R304">
            <v>692.78</v>
          </cell>
          <cell r="S304">
            <v>3743.19</v>
          </cell>
          <cell r="T304">
            <v>0.27500000000000002</v>
          </cell>
          <cell r="U304">
            <v>692.78</v>
          </cell>
          <cell r="V304">
            <v>3743.19</v>
          </cell>
          <cell r="W304">
            <v>0.27500000000000002</v>
          </cell>
          <cell r="X304">
            <v>692.78</v>
          </cell>
          <cell r="Y304">
            <v>3743.19</v>
          </cell>
          <cell r="Z304">
            <v>0.27500000000000002</v>
          </cell>
          <cell r="AA304">
            <v>692.78</v>
          </cell>
          <cell r="AB304">
            <v>3743.19</v>
          </cell>
          <cell r="AC304">
            <v>0.27500000000000002</v>
          </cell>
          <cell r="AD304">
            <v>692.78</v>
          </cell>
          <cell r="AE304">
            <v>3743.19</v>
          </cell>
          <cell r="AF304">
            <v>0.27500000000000002</v>
          </cell>
          <cell r="AG304">
            <v>692.78</v>
          </cell>
          <cell r="AH304">
            <v>150.69</v>
          </cell>
        </row>
        <row r="305">
          <cell r="C305">
            <v>40544</v>
          </cell>
          <cell r="D305">
            <v>1499.15</v>
          </cell>
          <cell r="E305">
            <v>7.4999999999999997E-2</v>
          </cell>
          <cell r="F305">
            <v>112.43</v>
          </cell>
          <cell r="G305">
            <v>2246.75</v>
          </cell>
          <cell r="H305">
            <v>0.15</v>
          </cell>
          <cell r="I305">
            <v>280.94</v>
          </cell>
          <cell r="J305">
            <v>2995.7</v>
          </cell>
          <cell r="K305">
            <v>0.22500000000000001</v>
          </cell>
          <cell r="L305">
            <v>505.62</v>
          </cell>
          <cell r="M305">
            <v>3743.19</v>
          </cell>
          <cell r="N305">
            <v>0.27500000000000002</v>
          </cell>
          <cell r="O305">
            <v>692.78</v>
          </cell>
          <cell r="P305">
            <v>3743.19</v>
          </cell>
          <cell r="Q305">
            <v>0.27500000000000002</v>
          </cell>
          <cell r="R305">
            <v>692.78</v>
          </cell>
          <cell r="S305">
            <v>3743.19</v>
          </cell>
          <cell r="T305">
            <v>0.27500000000000002</v>
          </cell>
          <cell r="U305">
            <v>692.78</v>
          </cell>
          <cell r="V305">
            <v>3743.19</v>
          </cell>
          <cell r="W305">
            <v>0.27500000000000002</v>
          </cell>
          <cell r="X305">
            <v>692.78</v>
          </cell>
          <cell r="Y305">
            <v>3743.19</v>
          </cell>
          <cell r="Z305">
            <v>0.27500000000000002</v>
          </cell>
          <cell r="AA305">
            <v>692.78</v>
          </cell>
          <cell r="AB305">
            <v>3743.19</v>
          </cell>
          <cell r="AC305">
            <v>0.27500000000000002</v>
          </cell>
          <cell r="AD305">
            <v>692.78</v>
          </cell>
          <cell r="AE305">
            <v>3743.19</v>
          </cell>
          <cell r="AF305">
            <v>0.27500000000000002</v>
          </cell>
          <cell r="AG305">
            <v>692.78</v>
          </cell>
          <cell r="AH305">
            <v>150.69</v>
          </cell>
        </row>
        <row r="306">
          <cell r="C306">
            <v>40575</v>
          </cell>
          <cell r="D306">
            <v>1499.15</v>
          </cell>
          <cell r="E306">
            <v>7.4999999999999997E-2</v>
          </cell>
          <cell r="F306">
            <v>112.43</v>
          </cell>
          <cell r="G306">
            <v>2246.75</v>
          </cell>
          <cell r="H306">
            <v>0.15</v>
          </cell>
          <cell r="I306">
            <v>280.94</v>
          </cell>
          <cell r="J306">
            <v>2995.7</v>
          </cell>
          <cell r="K306">
            <v>0.22500000000000001</v>
          </cell>
          <cell r="L306">
            <v>505.62</v>
          </cell>
          <cell r="M306">
            <v>3743.19</v>
          </cell>
          <cell r="N306">
            <v>0.27500000000000002</v>
          </cell>
          <cell r="O306">
            <v>692.78</v>
          </cell>
          <cell r="P306">
            <v>3743.19</v>
          </cell>
          <cell r="Q306">
            <v>0.27500000000000002</v>
          </cell>
          <cell r="R306">
            <v>692.78</v>
          </cell>
          <cell r="S306">
            <v>3743.19</v>
          </cell>
          <cell r="T306">
            <v>0.27500000000000002</v>
          </cell>
          <cell r="U306">
            <v>692.78</v>
          </cell>
          <cell r="V306">
            <v>3743.19</v>
          </cell>
          <cell r="W306">
            <v>0.27500000000000002</v>
          </cell>
          <cell r="X306">
            <v>692.78</v>
          </cell>
          <cell r="Y306">
            <v>3743.19</v>
          </cell>
          <cell r="Z306">
            <v>0.27500000000000002</v>
          </cell>
          <cell r="AA306">
            <v>692.78</v>
          </cell>
          <cell r="AB306">
            <v>3743.19</v>
          </cell>
          <cell r="AC306">
            <v>0.27500000000000002</v>
          </cell>
          <cell r="AD306">
            <v>692.78</v>
          </cell>
          <cell r="AE306">
            <v>3743.19</v>
          </cell>
          <cell r="AF306">
            <v>0.27500000000000002</v>
          </cell>
          <cell r="AG306">
            <v>692.78</v>
          </cell>
          <cell r="AH306">
            <v>150.69</v>
          </cell>
        </row>
        <row r="307">
          <cell r="C307">
            <v>40603</v>
          </cell>
          <cell r="D307">
            <v>1499.15</v>
          </cell>
          <cell r="E307">
            <v>7.4999999999999997E-2</v>
          </cell>
          <cell r="F307">
            <v>112.43</v>
          </cell>
          <cell r="G307">
            <v>2246.75</v>
          </cell>
          <cell r="H307">
            <v>0.15</v>
          </cell>
          <cell r="I307">
            <v>280.94</v>
          </cell>
          <cell r="J307">
            <v>2995.7</v>
          </cell>
          <cell r="K307">
            <v>0.22500000000000001</v>
          </cell>
          <cell r="L307">
            <v>505.62</v>
          </cell>
          <cell r="M307">
            <v>3743.19</v>
          </cell>
          <cell r="N307">
            <v>0.27500000000000002</v>
          </cell>
          <cell r="O307">
            <v>692.78</v>
          </cell>
          <cell r="P307">
            <v>3743.19</v>
          </cell>
          <cell r="Q307">
            <v>0.27500000000000002</v>
          </cell>
          <cell r="R307">
            <v>692.78</v>
          </cell>
          <cell r="S307">
            <v>3743.19</v>
          </cell>
          <cell r="T307">
            <v>0.27500000000000002</v>
          </cell>
          <cell r="U307">
            <v>692.78</v>
          </cell>
          <cell r="V307">
            <v>3743.19</v>
          </cell>
          <cell r="W307">
            <v>0.27500000000000002</v>
          </cell>
          <cell r="X307">
            <v>692.78</v>
          </cell>
          <cell r="Y307">
            <v>3743.19</v>
          </cell>
          <cell r="Z307">
            <v>0.27500000000000002</v>
          </cell>
          <cell r="AA307">
            <v>692.78</v>
          </cell>
          <cell r="AB307">
            <v>3743.19</v>
          </cell>
          <cell r="AC307">
            <v>0.27500000000000002</v>
          </cell>
          <cell r="AD307">
            <v>692.78</v>
          </cell>
          <cell r="AE307">
            <v>3743.19</v>
          </cell>
          <cell r="AF307">
            <v>0.27500000000000002</v>
          </cell>
          <cell r="AG307">
            <v>692.78</v>
          </cell>
          <cell r="AH307">
            <v>150.69</v>
          </cell>
        </row>
        <row r="308">
          <cell r="C308">
            <v>40634</v>
          </cell>
          <cell r="D308">
            <v>1566.61</v>
          </cell>
          <cell r="E308">
            <v>7.4999999999999997E-2</v>
          </cell>
          <cell r="F308">
            <v>117.49</v>
          </cell>
          <cell r="G308">
            <v>2347.85</v>
          </cell>
          <cell r="H308">
            <v>0.15</v>
          </cell>
          <cell r="I308">
            <v>293.58</v>
          </cell>
          <cell r="J308">
            <v>3130.51</v>
          </cell>
          <cell r="K308">
            <v>0.22500000000000001</v>
          </cell>
          <cell r="L308">
            <v>528.37</v>
          </cell>
          <cell r="M308">
            <v>3911.63</v>
          </cell>
          <cell r="N308">
            <v>0.27500000000000002</v>
          </cell>
          <cell r="O308">
            <v>723.95</v>
          </cell>
          <cell r="P308">
            <v>3911.63</v>
          </cell>
          <cell r="Q308">
            <v>0.27500000000000002</v>
          </cell>
          <cell r="R308">
            <v>723.95</v>
          </cell>
          <cell r="S308">
            <v>3911.63</v>
          </cell>
          <cell r="T308">
            <v>0.27500000000000002</v>
          </cell>
          <cell r="U308">
            <v>723.95</v>
          </cell>
          <cell r="V308">
            <v>3911.63</v>
          </cell>
          <cell r="W308">
            <v>0.27500000000000002</v>
          </cell>
          <cell r="X308">
            <v>723.95</v>
          </cell>
          <cell r="Y308">
            <v>3911.63</v>
          </cell>
          <cell r="Z308">
            <v>0.27500000000000002</v>
          </cell>
          <cell r="AA308">
            <v>723.95</v>
          </cell>
          <cell r="AB308">
            <v>3911.63</v>
          </cell>
          <cell r="AC308">
            <v>0.27500000000000002</v>
          </cell>
          <cell r="AD308">
            <v>723.95</v>
          </cell>
          <cell r="AE308">
            <v>3911.63</v>
          </cell>
          <cell r="AF308">
            <v>0.27500000000000002</v>
          </cell>
          <cell r="AG308">
            <v>723.95</v>
          </cell>
          <cell r="AH308">
            <v>157.47</v>
          </cell>
        </row>
        <row r="309">
          <cell r="C309">
            <v>40664</v>
          </cell>
          <cell r="D309">
            <v>1566.61</v>
          </cell>
          <cell r="E309">
            <v>7.4999999999999997E-2</v>
          </cell>
          <cell r="F309">
            <v>117.49</v>
          </cell>
          <cell r="G309">
            <v>2347.85</v>
          </cell>
          <cell r="H309">
            <v>0.15</v>
          </cell>
          <cell r="I309">
            <v>293.58</v>
          </cell>
          <cell r="J309">
            <v>3130.51</v>
          </cell>
          <cell r="K309">
            <v>0.22500000000000001</v>
          </cell>
          <cell r="L309">
            <v>528.37</v>
          </cell>
          <cell r="M309">
            <v>3911.63</v>
          </cell>
          <cell r="N309">
            <v>0.27500000000000002</v>
          </cell>
          <cell r="O309">
            <v>723.95</v>
          </cell>
          <cell r="P309">
            <v>3911.63</v>
          </cell>
          <cell r="Q309">
            <v>0.27500000000000002</v>
          </cell>
          <cell r="R309">
            <v>723.95</v>
          </cell>
          <cell r="S309">
            <v>3911.63</v>
          </cell>
          <cell r="T309">
            <v>0.27500000000000002</v>
          </cell>
          <cell r="U309">
            <v>723.95</v>
          </cell>
          <cell r="V309">
            <v>3911.63</v>
          </cell>
          <cell r="W309">
            <v>0.27500000000000002</v>
          </cell>
          <cell r="X309">
            <v>723.95</v>
          </cell>
          <cell r="Y309">
            <v>3911.63</v>
          </cell>
          <cell r="Z309">
            <v>0.27500000000000002</v>
          </cell>
          <cell r="AA309">
            <v>723.95</v>
          </cell>
          <cell r="AB309">
            <v>3911.63</v>
          </cell>
          <cell r="AC309">
            <v>0.27500000000000002</v>
          </cell>
          <cell r="AD309">
            <v>723.95</v>
          </cell>
          <cell r="AE309">
            <v>3911.63</v>
          </cell>
          <cell r="AF309">
            <v>0.27500000000000002</v>
          </cell>
          <cell r="AG309">
            <v>723.95</v>
          </cell>
          <cell r="AH309">
            <v>157.47</v>
          </cell>
        </row>
        <row r="310">
          <cell r="C310">
            <v>40695</v>
          </cell>
          <cell r="D310">
            <v>1566.61</v>
          </cell>
          <cell r="E310">
            <v>7.4999999999999997E-2</v>
          </cell>
          <cell r="F310">
            <v>117.49</v>
          </cell>
          <cell r="G310">
            <v>2347.85</v>
          </cell>
          <cell r="H310">
            <v>0.15</v>
          </cell>
          <cell r="I310">
            <v>293.58</v>
          </cell>
          <cell r="J310">
            <v>3130.51</v>
          </cell>
          <cell r="K310">
            <v>0.22500000000000001</v>
          </cell>
          <cell r="L310">
            <v>528.37</v>
          </cell>
          <cell r="M310">
            <v>3911.63</v>
          </cell>
          <cell r="N310">
            <v>0.27500000000000002</v>
          </cell>
          <cell r="O310">
            <v>723.95</v>
          </cell>
          <cell r="P310">
            <v>3911.63</v>
          </cell>
          <cell r="Q310">
            <v>0.27500000000000002</v>
          </cell>
          <cell r="R310">
            <v>723.95</v>
          </cell>
          <cell r="S310">
            <v>3911.63</v>
          </cell>
          <cell r="T310">
            <v>0.27500000000000002</v>
          </cell>
          <cell r="U310">
            <v>723.95</v>
          </cell>
          <cell r="V310">
            <v>3911.63</v>
          </cell>
          <cell r="W310">
            <v>0.27500000000000002</v>
          </cell>
          <cell r="X310">
            <v>723.95</v>
          </cell>
          <cell r="Y310">
            <v>3911.63</v>
          </cell>
          <cell r="Z310">
            <v>0.27500000000000002</v>
          </cell>
          <cell r="AA310">
            <v>723.95</v>
          </cell>
          <cell r="AB310">
            <v>3911.63</v>
          </cell>
          <cell r="AC310">
            <v>0.27500000000000002</v>
          </cell>
          <cell r="AD310">
            <v>723.95</v>
          </cell>
          <cell r="AE310">
            <v>3911.63</v>
          </cell>
          <cell r="AF310">
            <v>0.27500000000000002</v>
          </cell>
          <cell r="AG310">
            <v>723.95</v>
          </cell>
          <cell r="AH310">
            <v>157.47</v>
          </cell>
        </row>
        <row r="311">
          <cell r="C311">
            <v>40725</v>
          </cell>
          <cell r="D311">
            <v>1566.61</v>
          </cell>
          <cell r="E311">
            <v>7.4999999999999997E-2</v>
          </cell>
          <cell r="F311">
            <v>117.49</v>
          </cell>
          <cell r="G311">
            <v>2347.85</v>
          </cell>
          <cell r="H311">
            <v>0.15</v>
          </cell>
          <cell r="I311">
            <v>293.58</v>
          </cell>
          <cell r="J311">
            <v>3130.51</v>
          </cell>
          <cell r="K311">
            <v>0.22500000000000001</v>
          </cell>
          <cell r="L311">
            <v>528.37</v>
          </cell>
          <cell r="M311">
            <v>3911.63</v>
          </cell>
          <cell r="N311">
            <v>0.27500000000000002</v>
          </cell>
          <cell r="O311">
            <v>723.95</v>
          </cell>
          <cell r="P311">
            <v>3911.63</v>
          </cell>
          <cell r="Q311">
            <v>0.27500000000000002</v>
          </cell>
          <cell r="R311">
            <v>723.95</v>
          </cell>
          <cell r="S311">
            <v>3911.63</v>
          </cell>
          <cell r="T311">
            <v>0.27500000000000002</v>
          </cell>
          <cell r="U311">
            <v>723.95</v>
          </cell>
          <cell r="V311">
            <v>3911.63</v>
          </cell>
          <cell r="W311">
            <v>0.27500000000000002</v>
          </cell>
          <cell r="X311">
            <v>723.95</v>
          </cell>
          <cell r="Y311">
            <v>3911.63</v>
          </cell>
          <cell r="Z311">
            <v>0.27500000000000002</v>
          </cell>
          <cell r="AA311">
            <v>723.95</v>
          </cell>
          <cell r="AB311">
            <v>3911.63</v>
          </cell>
          <cell r="AC311">
            <v>0.27500000000000002</v>
          </cell>
          <cell r="AD311">
            <v>723.95</v>
          </cell>
          <cell r="AE311">
            <v>3911.63</v>
          </cell>
          <cell r="AF311">
            <v>0.27500000000000002</v>
          </cell>
          <cell r="AG311">
            <v>723.95</v>
          </cell>
          <cell r="AH311">
            <v>157.47</v>
          </cell>
        </row>
        <row r="312">
          <cell r="C312">
            <v>40756</v>
          </cell>
          <cell r="D312">
            <v>1566.61</v>
          </cell>
          <cell r="E312">
            <v>7.4999999999999997E-2</v>
          </cell>
          <cell r="F312">
            <v>117.49</v>
          </cell>
          <cell r="G312">
            <v>2347.85</v>
          </cell>
          <cell r="H312">
            <v>0.15</v>
          </cell>
          <cell r="I312">
            <v>293.58</v>
          </cell>
          <cell r="J312">
            <v>3130.51</v>
          </cell>
          <cell r="K312">
            <v>0.22500000000000001</v>
          </cell>
          <cell r="L312">
            <v>528.37</v>
          </cell>
          <cell r="M312">
            <v>3911.63</v>
          </cell>
          <cell r="N312">
            <v>0.27500000000000002</v>
          </cell>
          <cell r="O312">
            <v>723.95</v>
          </cell>
          <cell r="P312">
            <v>3911.63</v>
          </cell>
          <cell r="Q312">
            <v>0.27500000000000002</v>
          </cell>
          <cell r="R312">
            <v>723.95</v>
          </cell>
          <cell r="S312">
            <v>3911.63</v>
          </cell>
          <cell r="T312">
            <v>0.27500000000000002</v>
          </cell>
          <cell r="U312">
            <v>723.95</v>
          </cell>
          <cell r="V312">
            <v>3911.63</v>
          </cell>
          <cell r="W312">
            <v>0.27500000000000002</v>
          </cell>
          <cell r="X312">
            <v>723.95</v>
          </cell>
          <cell r="Y312">
            <v>3911.63</v>
          </cell>
          <cell r="Z312">
            <v>0.27500000000000002</v>
          </cell>
          <cell r="AA312">
            <v>723.95</v>
          </cell>
          <cell r="AB312">
            <v>3911.63</v>
          </cell>
          <cell r="AC312">
            <v>0.27500000000000002</v>
          </cell>
          <cell r="AD312">
            <v>723.95</v>
          </cell>
          <cell r="AE312">
            <v>3911.63</v>
          </cell>
          <cell r="AF312">
            <v>0.27500000000000002</v>
          </cell>
          <cell r="AG312">
            <v>723.95</v>
          </cell>
          <cell r="AH312">
            <v>157.47</v>
          </cell>
        </row>
        <row r="313">
          <cell r="C313">
            <v>40787</v>
          </cell>
          <cell r="D313">
            <v>1566.61</v>
          </cell>
          <cell r="E313">
            <v>7.4999999999999997E-2</v>
          </cell>
          <cell r="F313">
            <v>117.49</v>
          </cell>
          <cell r="G313">
            <v>2347.85</v>
          </cell>
          <cell r="H313">
            <v>0.15</v>
          </cell>
          <cell r="I313">
            <v>293.58</v>
          </cell>
          <cell r="J313">
            <v>3130.51</v>
          </cell>
          <cell r="K313">
            <v>0.22500000000000001</v>
          </cell>
          <cell r="L313">
            <v>528.37</v>
          </cell>
          <cell r="M313">
            <v>3911.63</v>
          </cell>
          <cell r="N313">
            <v>0.27500000000000002</v>
          </cell>
          <cell r="O313">
            <v>723.95</v>
          </cell>
          <cell r="P313">
            <v>3911.63</v>
          </cell>
          <cell r="Q313">
            <v>0.27500000000000002</v>
          </cell>
          <cell r="R313">
            <v>723.95</v>
          </cell>
          <cell r="S313">
            <v>3911.63</v>
          </cell>
          <cell r="T313">
            <v>0.27500000000000002</v>
          </cell>
          <cell r="U313">
            <v>723.95</v>
          </cell>
          <cell r="V313">
            <v>3911.63</v>
          </cell>
          <cell r="W313">
            <v>0.27500000000000002</v>
          </cell>
          <cell r="X313">
            <v>723.95</v>
          </cell>
          <cell r="Y313">
            <v>3911.63</v>
          </cell>
          <cell r="Z313">
            <v>0.27500000000000002</v>
          </cell>
          <cell r="AA313">
            <v>723.95</v>
          </cell>
          <cell r="AB313">
            <v>3911.63</v>
          </cell>
          <cell r="AC313">
            <v>0.27500000000000002</v>
          </cell>
          <cell r="AD313">
            <v>723.95</v>
          </cell>
          <cell r="AE313">
            <v>3911.63</v>
          </cell>
          <cell r="AF313">
            <v>0.27500000000000002</v>
          </cell>
          <cell r="AG313">
            <v>723.95</v>
          </cell>
          <cell r="AH313">
            <v>157.47</v>
          </cell>
        </row>
        <row r="314">
          <cell r="C314">
            <v>40817</v>
          </cell>
          <cell r="D314">
            <v>1566.61</v>
          </cell>
          <cell r="E314">
            <v>7.4999999999999997E-2</v>
          </cell>
          <cell r="F314">
            <v>117.49</v>
          </cell>
          <cell r="G314">
            <v>2347.85</v>
          </cell>
          <cell r="H314">
            <v>0.15</v>
          </cell>
          <cell r="I314">
            <v>293.58</v>
          </cell>
          <cell r="J314">
            <v>3130.51</v>
          </cell>
          <cell r="K314">
            <v>0.22500000000000001</v>
          </cell>
          <cell r="L314">
            <v>528.37</v>
          </cell>
          <cell r="M314">
            <v>3911.63</v>
          </cell>
          <cell r="N314">
            <v>0.27500000000000002</v>
          </cell>
          <cell r="O314">
            <v>723.95</v>
          </cell>
          <cell r="P314">
            <v>3911.63</v>
          </cell>
          <cell r="Q314">
            <v>0.27500000000000002</v>
          </cell>
          <cell r="R314">
            <v>723.95</v>
          </cell>
          <cell r="S314">
            <v>3911.63</v>
          </cell>
          <cell r="T314">
            <v>0.27500000000000002</v>
          </cell>
          <cell r="U314">
            <v>723.95</v>
          </cell>
          <cell r="V314">
            <v>3911.63</v>
          </cell>
          <cell r="W314">
            <v>0.27500000000000002</v>
          </cell>
          <cell r="X314">
            <v>723.95</v>
          </cell>
          <cell r="Y314">
            <v>3911.63</v>
          </cell>
          <cell r="Z314">
            <v>0.27500000000000002</v>
          </cell>
          <cell r="AA314">
            <v>723.95</v>
          </cell>
          <cell r="AB314">
            <v>3911.63</v>
          </cell>
          <cell r="AC314">
            <v>0.27500000000000002</v>
          </cell>
          <cell r="AD314">
            <v>723.95</v>
          </cell>
          <cell r="AE314">
            <v>3911.63</v>
          </cell>
          <cell r="AF314">
            <v>0.27500000000000002</v>
          </cell>
          <cell r="AG314">
            <v>723.95</v>
          </cell>
          <cell r="AH314">
            <v>157.47</v>
          </cell>
        </row>
        <row r="315">
          <cell r="C315">
            <v>40848</v>
          </cell>
          <cell r="D315">
            <v>1566.61</v>
          </cell>
          <cell r="E315">
            <v>7.4999999999999997E-2</v>
          </cell>
          <cell r="F315">
            <v>117.49</v>
          </cell>
          <cell r="G315">
            <v>2347.85</v>
          </cell>
          <cell r="H315">
            <v>0.15</v>
          </cell>
          <cell r="I315">
            <v>293.58</v>
          </cell>
          <cell r="J315">
            <v>3130.51</v>
          </cell>
          <cell r="K315">
            <v>0.22500000000000001</v>
          </cell>
          <cell r="L315">
            <v>528.37</v>
          </cell>
          <cell r="M315">
            <v>3911.63</v>
          </cell>
          <cell r="N315">
            <v>0.27500000000000002</v>
          </cell>
          <cell r="O315">
            <v>723.95</v>
          </cell>
          <cell r="P315">
            <v>3911.63</v>
          </cell>
          <cell r="Q315">
            <v>0.27500000000000002</v>
          </cell>
          <cell r="R315">
            <v>723.95</v>
          </cell>
          <cell r="S315">
            <v>3911.63</v>
          </cell>
          <cell r="T315">
            <v>0.27500000000000002</v>
          </cell>
          <cell r="U315">
            <v>723.95</v>
          </cell>
          <cell r="V315">
            <v>3911.63</v>
          </cell>
          <cell r="W315">
            <v>0.27500000000000002</v>
          </cell>
          <cell r="X315">
            <v>723.95</v>
          </cell>
          <cell r="Y315">
            <v>3911.63</v>
          </cell>
          <cell r="Z315">
            <v>0.27500000000000002</v>
          </cell>
          <cell r="AA315">
            <v>723.95</v>
          </cell>
          <cell r="AB315">
            <v>3911.63</v>
          </cell>
          <cell r="AC315">
            <v>0.27500000000000002</v>
          </cell>
          <cell r="AD315">
            <v>723.95</v>
          </cell>
          <cell r="AE315">
            <v>3911.63</v>
          </cell>
          <cell r="AF315">
            <v>0.27500000000000002</v>
          </cell>
          <cell r="AG315">
            <v>723.95</v>
          </cell>
          <cell r="AH315">
            <v>157.47</v>
          </cell>
        </row>
        <row r="316">
          <cell r="C316">
            <v>40878</v>
          </cell>
          <cell r="D316">
            <v>1566.61</v>
          </cell>
          <cell r="E316">
            <v>7.4999999999999997E-2</v>
          </cell>
          <cell r="F316">
            <v>117.49</v>
          </cell>
          <cell r="G316">
            <v>2347.85</v>
          </cell>
          <cell r="H316">
            <v>0.15</v>
          </cell>
          <cell r="I316">
            <v>293.58</v>
          </cell>
          <cell r="J316">
            <v>3130.51</v>
          </cell>
          <cell r="K316">
            <v>0.22500000000000001</v>
          </cell>
          <cell r="L316">
            <v>528.37</v>
          </cell>
          <cell r="M316">
            <v>3911.63</v>
          </cell>
          <cell r="N316">
            <v>0.27500000000000002</v>
          </cell>
          <cell r="O316">
            <v>723.95</v>
          </cell>
          <cell r="P316">
            <v>3911.63</v>
          </cell>
          <cell r="Q316">
            <v>0.27500000000000002</v>
          </cell>
          <cell r="R316">
            <v>723.95</v>
          </cell>
          <cell r="S316">
            <v>3911.63</v>
          </cell>
          <cell r="T316">
            <v>0.27500000000000002</v>
          </cell>
          <cell r="U316">
            <v>723.95</v>
          </cell>
          <cell r="V316">
            <v>3911.63</v>
          </cell>
          <cell r="W316">
            <v>0.27500000000000002</v>
          </cell>
          <cell r="X316">
            <v>723.95</v>
          </cell>
          <cell r="Y316">
            <v>3911.63</v>
          </cell>
          <cell r="Z316">
            <v>0.27500000000000002</v>
          </cell>
          <cell r="AA316">
            <v>723.95</v>
          </cell>
          <cell r="AB316">
            <v>3911.63</v>
          </cell>
          <cell r="AC316">
            <v>0.27500000000000002</v>
          </cell>
          <cell r="AD316">
            <v>723.95</v>
          </cell>
          <cell r="AE316">
            <v>3911.63</v>
          </cell>
          <cell r="AF316">
            <v>0.27500000000000002</v>
          </cell>
          <cell r="AG316">
            <v>723.95</v>
          </cell>
          <cell r="AH316">
            <v>157.47</v>
          </cell>
        </row>
        <row r="317">
          <cell r="C317">
            <v>40909</v>
          </cell>
          <cell r="D317">
            <v>1637.11</v>
          </cell>
          <cell r="E317">
            <v>7.4999999999999997E-2</v>
          </cell>
          <cell r="F317">
            <v>122.78</v>
          </cell>
          <cell r="G317">
            <v>2453.5</v>
          </cell>
          <cell r="H317">
            <v>0.15</v>
          </cell>
          <cell r="I317">
            <v>306.8</v>
          </cell>
          <cell r="J317">
            <v>3271.38</v>
          </cell>
          <cell r="K317">
            <v>0.22500000000000001</v>
          </cell>
          <cell r="L317">
            <v>552.15</v>
          </cell>
          <cell r="M317">
            <v>4087.65</v>
          </cell>
          <cell r="N317">
            <v>0.27500000000000002</v>
          </cell>
          <cell r="O317">
            <v>756.53</v>
          </cell>
          <cell r="P317">
            <v>4087.65</v>
          </cell>
          <cell r="Q317">
            <v>0.27500000000000002</v>
          </cell>
          <cell r="R317">
            <v>756.53</v>
          </cell>
          <cell r="S317">
            <v>4087.65</v>
          </cell>
          <cell r="T317">
            <v>0.27500000000000002</v>
          </cell>
          <cell r="U317">
            <v>756.53</v>
          </cell>
          <cell r="V317">
            <v>4087.65</v>
          </cell>
          <cell r="W317">
            <v>0.27500000000000002</v>
          </cell>
          <cell r="X317">
            <v>756.53</v>
          </cell>
          <cell r="Y317">
            <v>4087.65</v>
          </cell>
          <cell r="Z317">
            <v>0.27500000000000002</v>
          </cell>
          <cell r="AA317">
            <v>756.53</v>
          </cell>
          <cell r="AB317">
            <v>4087.65</v>
          </cell>
          <cell r="AC317">
            <v>0.27500000000000002</v>
          </cell>
          <cell r="AD317">
            <v>756.53</v>
          </cell>
          <cell r="AE317">
            <v>4087.65</v>
          </cell>
          <cell r="AF317">
            <v>0.27500000000000002</v>
          </cell>
          <cell r="AG317">
            <v>756.53</v>
          </cell>
          <cell r="AH317">
            <v>164.56</v>
          </cell>
        </row>
        <row r="318">
          <cell r="C318">
            <v>40940</v>
          </cell>
          <cell r="D318">
            <v>1637.11</v>
          </cell>
          <cell r="E318">
            <v>7.4999999999999997E-2</v>
          </cell>
          <cell r="F318">
            <v>122.78</v>
          </cell>
          <cell r="G318">
            <v>2453.5</v>
          </cell>
          <cell r="H318">
            <v>0.15</v>
          </cell>
          <cell r="I318">
            <v>306.8</v>
          </cell>
          <cell r="J318">
            <v>3271.38</v>
          </cell>
          <cell r="K318">
            <v>0.22500000000000001</v>
          </cell>
          <cell r="L318">
            <v>552.15</v>
          </cell>
          <cell r="M318">
            <v>4087.65</v>
          </cell>
          <cell r="N318">
            <v>0.27500000000000002</v>
          </cell>
          <cell r="O318">
            <v>756.53</v>
          </cell>
          <cell r="P318">
            <v>4087.65</v>
          </cell>
          <cell r="Q318">
            <v>0.27500000000000002</v>
          </cell>
          <cell r="R318">
            <v>756.53</v>
          </cell>
          <cell r="S318">
            <v>4087.65</v>
          </cell>
          <cell r="T318">
            <v>0.27500000000000002</v>
          </cell>
          <cell r="U318">
            <v>756.53</v>
          </cell>
          <cell r="V318">
            <v>4087.65</v>
          </cell>
          <cell r="W318">
            <v>0.27500000000000002</v>
          </cell>
          <cell r="X318">
            <v>756.53</v>
          </cell>
          <cell r="Y318">
            <v>4087.65</v>
          </cell>
          <cell r="Z318">
            <v>0.27500000000000002</v>
          </cell>
          <cell r="AA318">
            <v>756.53</v>
          </cell>
          <cell r="AB318">
            <v>4087.65</v>
          </cell>
          <cell r="AC318">
            <v>0.27500000000000002</v>
          </cell>
          <cell r="AD318">
            <v>756.53</v>
          </cell>
          <cell r="AE318">
            <v>4087.65</v>
          </cell>
          <cell r="AF318">
            <v>0.27500000000000002</v>
          </cell>
          <cell r="AG318">
            <v>756.53</v>
          </cell>
          <cell r="AH318">
            <v>164.56</v>
          </cell>
        </row>
        <row r="319">
          <cell r="C319">
            <v>40969</v>
          </cell>
          <cell r="D319">
            <v>1637.11</v>
          </cell>
          <cell r="E319">
            <v>7.4999999999999997E-2</v>
          </cell>
          <cell r="F319">
            <v>122.78</v>
          </cell>
          <cell r="G319">
            <v>2453.5</v>
          </cell>
          <cell r="H319">
            <v>0.15</v>
          </cell>
          <cell r="I319">
            <v>306.8</v>
          </cell>
          <cell r="J319">
            <v>3271.38</v>
          </cell>
          <cell r="K319">
            <v>0.22500000000000001</v>
          </cell>
          <cell r="L319">
            <v>552.15</v>
          </cell>
          <cell r="M319">
            <v>4087.65</v>
          </cell>
          <cell r="N319">
            <v>0.27500000000000002</v>
          </cell>
          <cell r="O319">
            <v>756.53</v>
          </cell>
          <cell r="P319">
            <v>4087.65</v>
          </cell>
          <cell r="Q319">
            <v>0.27500000000000002</v>
          </cell>
          <cell r="R319">
            <v>756.53</v>
          </cell>
          <cell r="S319">
            <v>4087.65</v>
          </cell>
          <cell r="T319">
            <v>0.27500000000000002</v>
          </cell>
          <cell r="U319">
            <v>756.53</v>
          </cell>
          <cell r="V319">
            <v>4087.65</v>
          </cell>
          <cell r="W319">
            <v>0.27500000000000002</v>
          </cell>
          <cell r="X319">
            <v>756.53</v>
          </cell>
          <cell r="Y319">
            <v>4087.65</v>
          </cell>
          <cell r="Z319">
            <v>0.27500000000000002</v>
          </cell>
          <cell r="AA319">
            <v>756.53</v>
          </cell>
          <cell r="AB319">
            <v>4087.65</v>
          </cell>
          <cell r="AC319">
            <v>0.27500000000000002</v>
          </cell>
          <cell r="AD319">
            <v>756.53</v>
          </cell>
          <cell r="AE319">
            <v>4087.65</v>
          </cell>
          <cell r="AF319">
            <v>0.27500000000000002</v>
          </cell>
          <cell r="AG319">
            <v>756.53</v>
          </cell>
          <cell r="AH319">
            <v>164.56</v>
          </cell>
        </row>
        <row r="320">
          <cell r="C320">
            <v>41000</v>
          </cell>
          <cell r="D320">
            <v>1637.11</v>
          </cell>
          <cell r="E320">
            <v>7.4999999999999997E-2</v>
          </cell>
          <cell r="F320">
            <v>122.78</v>
          </cell>
          <cell r="G320">
            <v>2453.5</v>
          </cell>
          <cell r="H320">
            <v>0.15</v>
          </cell>
          <cell r="I320">
            <v>306.8</v>
          </cell>
          <cell r="J320">
            <v>3271.38</v>
          </cell>
          <cell r="K320">
            <v>0.22500000000000001</v>
          </cell>
          <cell r="L320">
            <v>552.15</v>
          </cell>
          <cell r="M320">
            <v>4087.65</v>
          </cell>
          <cell r="N320">
            <v>0.27500000000000002</v>
          </cell>
          <cell r="O320">
            <v>756.53</v>
          </cell>
          <cell r="P320">
            <v>4087.65</v>
          </cell>
          <cell r="Q320">
            <v>0.27500000000000002</v>
          </cell>
          <cell r="R320">
            <v>756.53</v>
          </cell>
          <cell r="S320">
            <v>4087.65</v>
          </cell>
          <cell r="T320">
            <v>0.27500000000000002</v>
          </cell>
          <cell r="U320">
            <v>756.53</v>
          </cell>
          <cell r="V320">
            <v>4087.65</v>
          </cell>
          <cell r="W320">
            <v>0.27500000000000002</v>
          </cell>
          <cell r="X320">
            <v>756.53</v>
          </cell>
          <cell r="Y320">
            <v>4087.65</v>
          </cell>
          <cell r="Z320">
            <v>0.27500000000000002</v>
          </cell>
          <cell r="AA320">
            <v>756.53</v>
          </cell>
          <cell r="AB320">
            <v>4087.65</v>
          </cell>
          <cell r="AC320">
            <v>0.27500000000000002</v>
          </cell>
          <cell r="AD320">
            <v>756.53</v>
          </cell>
          <cell r="AE320">
            <v>4087.65</v>
          </cell>
          <cell r="AF320">
            <v>0.27500000000000002</v>
          </cell>
          <cell r="AG320">
            <v>756.53</v>
          </cell>
          <cell r="AH320">
            <v>164.56</v>
          </cell>
        </row>
        <row r="321">
          <cell r="C321">
            <v>41030</v>
          </cell>
          <cell r="D321">
            <v>1637.11</v>
          </cell>
          <cell r="E321">
            <v>7.4999999999999997E-2</v>
          </cell>
          <cell r="F321">
            <v>122.78</v>
          </cell>
          <cell r="G321">
            <v>2453.5</v>
          </cell>
          <cell r="H321">
            <v>0.15</v>
          </cell>
          <cell r="I321">
            <v>306.8</v>
          </cell>
          <cell r="J321">
            <v>3271.38</v>
          </cell>
          <cell r="K321">
            <v>0.22500000000000001</v>
          </cell>
          <cell r="L321">
            <v>552.15</v>
          </cell>
          <cell r="M321">
            <v>4087.65</v>
          </cell>
          <cell r="N321">
            <v>0.27500000000000002</v>
          </cell>
          <cell r="O321">
            <v>756.53</v>
          </cell>
          <cell r="P321">
            <v>4087.65</v>
          </cell>
          <cell r="Q321">
            <v>0.27500000000000002</v>
          </cell>
          <cell r="R321">
            <v>756.53</v>
          </cell>
          <cell r="S321">
            <v>4087.65</v>
          </cell>
          <cell r="T321">
            <v>0.27500000000000002</v>
          </cell>
          <cell r="U321">
            <v>756.53</v>
          </cell>
          <cell r="V321">
            <v>4087.65</v>
          </cell>
          <cell r="W321">
            <v>0.27500000000000002</v>
          </cell>
          <cell r="X321">
            <v>756.53</v>
          </cell>
          <cell r="Y321">
            <v>4087.65</v>
          </cell>
          <cell r="Z321">
            <v>0.27500000000000002</v>
          </cell>
          <cell r="AA321">
            <v>756.53</v>
          </cell>
          <cell r="AB321">
            <v>4087.65</v>
          </cell>
          <cell r="AC321">
            <v>0.27500000000000002</v>
          </cell>
          <cell r="AD321">
            <v>756.53</v>
          </cell>
          <cell r="AE321">
            <v>4087.65</v>
          </cell>
          <cell r="AF321">
            <v>0.27500000000000002</v>
          </cell>
          <cell r="AG321">
            <v>756.53</v>
          </cell>
          <cell r="AH321">
            <v>164.56</v>
          </cell>
        </row>
        <row r="322">
          <cell r="C322">
            <v>41061</v>
          </cell>
          <cell r="D322">
            <v>1637.11</v>
          </cell>
          <cell r="E322">
            <v>7.4999999999999997E-2</v>
          </cell>
          <cell r="F322">
            <v>122.78</v>
          </cell>
          <cell r="G322">
            <v>2453.5</v>
          </cell>
          <cell r="H322">
            <v>0.15</v>
          </cell>
          <cell r="I322">
            <v>306.8</v>
          </cell>
          <cell r="J322">
            <v>3271.38</v>
          </cell>
          <cell r="K322">
            <v>0.22500000000000001</v>
          </cell>
          <cell r="L322">
            <v>552.15</v>
          </cell>
          <cell r="M322">
            <v>4087.65</v>
          </cell>
          <cell r="N322">
            <v>0.27500000000000002</v>
          </cell>
          <cell r="O322">
            <v>756.53</v>
          </cell>
          <cell r="P322">
            <v>4087.65</v>
          </cell>
          <cell r="Q322">
            <v>0.27500000000000002</v>
          </cell>
          <cell r="R322">
            <v>756.53</v>
          </cell>
          <cell r="S322">
            <v>4087.65</v>
          </cell>
          <cell r="T322">
            <v>0.27500000000000002</v>
          </cell>
          <cell r="U322">
            <v>756.53</v>
          </cell>
          <cell r="V322">
            <v>4087.65</v>
          </cell>
          <cell r="W322">
            <v>0.27500000000000002</v>
          </cell>
          <cell r="X322">
            <v>756.53</v>
          </cell>
          <cell r="Y322">
            <v>4087.65</v>
          </cell>
          <cell r="Z322">
            <v>0.27500000000000002</v>
          </cell>
          <cell r="AA322">
            <v>756.53</v>
          </cell>
          <cell r="AB322">
            <v>4087.65</v>
          </cell>
          <cell r="AC322">
            <v>0.27500000000000002</v>
          </cell>
          <cell r="AD322">
            <v>756.53</v>
          </cell>
          <cell r="AE322">
            <v>4087.65</v>
          </cell>
          <cell r="AF322">
            <v>0.27500000000000002</v>
          </cell>
          <cell r="AG322">
            <v>756.53</v>
          </cell>
          <cell r="AH322">
            <v>164.56</v>
          </cell>
        </row>
        <row r="323">
          <cell r="C323">
            <v>41091</v>
          </cell>
          <cell r="D323">
            <v>1637.11</v>
          </cell>
          <cell r="E323">
            <v>7.4999999999999997E-2</v>
          </cell>
          <cell r="F323">
            <v>122.78</v>
          </cell>
          <cell r="G323">
            <v>2453.5</v>
          </cell>
          <cell r="H323">
            <v>0.15</v>
          </cell>
          <cell r="I323">
            <v>306.8</v>
          </cell>
          <cell r="J323">
            <v>3271.38</v>
          </cell>
          <cell r="K323">
            <v>0.22500000000000001</v>
          </cell>
          <cell r="L323">
            <v>552.15</v>
          </cell>
          <cell r="M323">
            <v>4087.65</v>
          </cell>
          <cell r="N323">
            <v>0.27500000000000002</v>
          </cell>
          <cell r="O323">
            <v>756.53</v>
          </cell>
          <cell r="P323">
            <v>4087.65</v>
          </cell>
          <cell r="Q323">
            <v>0.27500000000000002</v>
          </cell>
          <cell r="R323">
            <v>756.53</v>
          </cell>
          <cell r="S323">
            <v>4087.65</v>
          </cell>
          <cell r="T323">
            <v>0.27500000000000002</v>
          </cell>
          <cell r="U323">
            <v>756.53</v>
          </cell>
          <cell r="V323">
            <v>4087.65</v>
          </cell>
          <cell r="W323">
            <v>0.27500000000000002</v>
          </cell>
          <cell r="X323">
            <v>756.53</v>
          </cell>
          <cell r="Y323">
            <v>4087.65</v>
          </cell>
          <cell r="Z323">
            <v>0.27500000000000002</v>
          </cell>
          <cell r="AA323">
            <v>756.53</v>
          </cell>
          <cell r="AB323">
            <v>4087.65</v>
          </cell>
          <cell r="AC323">
            <v>0.27500000000000002</v>
          </cell>
          <cell r="AD323">
            <v>756.53</v>
          </cell>
          <cell r="AE323">
            <v>4087.65</v>
          </cell>
          <cell r="AF323">
            <v>0.27500000000000002</v>
          </cell>
          <cell r="AG323">
            <v>756.53</v>
          </cell>
          <cell r="AH323">
            <v>164.56</v>
          </cell>
        </row>
        <row r="324">
          <cell r="C324">
            <v>41122</v>
          </cell>
          <cell r="D324">
            <v>1637.11</v>
          </cell>
          <cell r="E324">
            <v>7.4999999999999997E-2</v>
          </cell>
          <cell r="F324">
            <v>122.78</v>
          </cell>
          <cell r="G324">
            <v>2453.5</v>
          </cell>
          <cell r="H324">
            <v>0.15</v>
          </cell>
          <cell r="I324">
            <v>306.8</v>
          </cell>
          <cell r="J324">
            <v>3271.38</v>
          </cell>
          <cell r="K324">
            <v>0.22500000000000001</v>
          </cell>
          <cell r="L324">
            <v>552.15</v>
          </cell>
          <cell r="M324">
            <v>4087.65</v>
          </cell>
          <cell r="N324">
            <v>0.27500000000000002</v>
          </cell>
          <cell r="O324">
            <v>756.53</v>
          </cell>
          <cell r="P324">
            <v>4087.65</v>
          </cell>
          <cell r="Q324">
            <v>0.27500000000000002</v>
          </cell>
          <cell r="R324">
            <v>756.53</v>
          </cell>
          <cell r="S324">
            <v>4087.65</v>
          </cell>
          <cell r="T324">
            <v>0.27500000000000002</v>
          </cell>
          <cell r="U324">
            <v>756.53</v>
          </cell>
          <cell r="V324">
            <v>4087.65</v>
          </cell>
          <cell r="W324">
            <v>0.27500000000000002</v>
          </cell>
          <cell r="X324">
            <v>756.53</v>
          </cell>
          <cell r="Y324">
            <v>4087.65</v>
          </cell>
          <cell r="Z324">
            <v>0.27500000000000002</v>
          </cell>
          <cell r="AA324">
            <v>756.53</v>
          </cell>
          <cell r="AB324">
            <v>4087.65</v>
          </cell>
          <cell r="AC324">
            <v>0.27500000000000002</v>
          </cell>
          <cell r="AD324">
            <v>756.53</v>
          </cell>
          <cell r="AE324">
            <v>4087.65</v>
          </cell>
          <cell r="AF324">
            <v>0.27500000000000002</v>
          </cell>
          <cell r="AG324">
            <v>756.53</v>
          </cell>
          <cell r="AH324">
            <v>164.56</v>
          </cell>
        </row>
        <row r="325">
          <cell r="C325">
            <v>41153</v>
          </cell>
          <cell r="D325">
            <v>1637.11</v>
          </cell>
          <cell r="E325">
            <v>7.4999999999999997E-2</v>
          </cell>
          <cell r="F325">
            <v>122.78</v>
          </cell>
          <cell r="G325">
            <v>2453.5</v>
          </cell>
          <cell r="H325">
            <v>0.15</v>
          </cell>
          <cell r="I325">
            <v>306.8</v>
          </cell>
          <cell r="J325">
            <v>3271.38</v>
          </cell>
          <cell r="K325">
            <v>0.22500000000000001</v>
          </cell>
          <cell r="L325">
            <v>552.15</v>
          </cell>
          <cell r="M325">
            <v>4087.65</v>
          </cell>
          <cell r="N325">
            <v>0.27500000000000002</v>
          </cell>
          <cell r="O325">
            <v>756.53</v>
          </cell>
          <cell r="P325">
            <v>4087.65</v>
          </cell>
          <cell r="Q325">
            <v>0.27500000000000002</v>
          </cell>
          <cell r="R325">
            <v>756.53</v>
          </cell>
          <cell r="S325">
            <v>4087.65</v>
          </cell>
          <cell r="T325">
            <v>0.27500000000000002</v>
          </cell>
          <cell r="U325">
            <v>756.53</v>
          </cell>
          <cell r="V325">
            <v>4087.65</v>
          </cell>
          <cell r="W325">
            <v>0.27500000000000002</v>
          </cell>
          <cell r="X325">
            <v>756.53</v>
          </cell>
          <cell r="Y325">
            <v>4087.65</v>
          </cell>
          <cell r="Z325">
            <v>0.27500000000000002</v>
          </cell>
          <cell r="AA325">
            <v>756.53</v>
          </cell>
          <cell r="AB325">
            <v>4087.65</v>
          </cell>
          <cell r="AC325">
            <v>0.27500000000000002</v>
          </cell>
          <cell r="AD325">
            <v>756.53</v>
          </cell>
          <cell r="AE325">
            <v>4087.65</v>
          </cell>
          <cell r="AF325">
            <v>0.27500000000000002</v>
          </cell>
          <cell r="AG325">
            <v>756.53</v>
          </cell>
          <cell r="AH325">
            <v>164.56</v>
          </cell>
        </row>
        <row r="326">
          <cell r="C326">
            <v>41183</v>
          </cell>
          <cell r="D326">
            <v>1637.11</v>
          </cell>
          <cell r="E326">
            <v>7.4999999999999997E-2</v>
          </cell>
          <cell r="F326">
            <v>122.78</v>
          </cell>
          <cell r="G326">
            <v>2453.5</v>
          </cell>
          <cell r="H326">
            <v>0.15</v>
          </cell>
          <cell r="I326">
            <v>306.8</v>
          </cell>
          <cell r="J326">
            <v>3271.38</v>
          </cell>
          <cell r="K326">
            <v>0.22500000000000001</v>
          </cell>
          <cell r="L326">
            <v>552.15</v>
          </cell>
          <cell r="M326">
            <v>4087.65</v>
          </cell>
          <cell r="N326">
            <v>0.27500000000000002</v>
          </cell>
          <cell r="O326">
            <v>756.53</v>
          </cell>
          <cell r="P326">
            <v>4087.65</v>
          </cell>
          <cell r="Q326">
            <v>0.27500000000000002</v>
          </cell>
          <cell r="R326">
            <v>756.53</v>
          </cell>
          <cell r="S326">
            <v>4087.65</v>
          </cell>
          <cell r="T326">
            <v>0.27500000000000002</v>
          </cell>
          <cell r="U326">
            <v>756.53</v>
          </cell>
          <cell r="V326">
            <v>4087.65</v>
          </cell>
          <cell r="W326">
            <v>0.27500000000000002</v>
          </cell>
          <cell r="X326">
            <v>756.53</v>
          </cell>
          <cell r="Y326">
            <v>4087.65</v>
          </cell>
          <cell r="Z326">
            <v>0.27500000000000002</v>
          </cell>
          <cell r="AA326">
            <v>756.53</v>
          </cell>
          <cell r="AB326">
            <v>4087.65</v>
          </cell>
          <cell r="AC326">
            <v>0.27500000000000002</v>
          </cell>
          <cell r="AD326">
            <v>756.53</v>
          </cell>
          <cell r="AE326">
            <v>4087.65</v>
          </cell>
          <cell r="AF326">
            <v>0.27500000000000002</v>
          </cell>
          <cell r="AG326">
            <v>756.53</v>
          </cell>
          <cell r="AH326">
            <v>164.56</v>
          </cell>
        </row>
        <row r="327">
          <cell r="C327">
            <v>41214</v>
          </cell>
          <cell r="D327">
            <v>1637.11</v>
          </cell>
          <cell r="E327">
            <v>7.4999999999999997E-2</v>
          </cell>
          <cell r="F327">
            <v>122.78</v>
          </cell>
          <cell r="G327">
            <v>2453.5</v>
          </cell>
          <cell r="H327">
            <v>0.15</v>
          </cell>
          <cell r="I327">
            <v>306.8</v>
          </cell>
          <cell r="J327">
            <v>3271.38</v>
          </cell>
          <cell r="K327">
            <v>0.22500000000000001</v>
          </cell>
          <cell r="L327">
            <v>552.15</v>
          </cell>
          <cell r="M327">
            <v>4087.65</v>
          </cell>
          <cell r="N327">
            <v>0.27500000000000002</v>
          </cell>
          <cell r="O327">
            <v>756.53</v>
          </cell>
          <cell r="P327">
            <v>4087.65</v>
          </cell>
          <cell r="Q327">
            <v>0.27500000000000002</v>
          </cell>
          <cell r="R327">
            <v>756.53</v>
          </cell>
          <cell r="S327">
            <v>4087.65</v>
          </cell>
          <cell r="T327">
            <v>0.27500000000000002</v>
          </cell>
          <cell r="U327">
            <v>756.53</v>
          </cell>
          <cell r="V327">
            <v>4087.65</v>
          </cell>
          <cell r="W327">
            <v>0.27500000000000002</v>
          </cell>
          <cell r="X327">
            <v>756.53</v>
          </cell>
          <cell r="Y327">
            <v>4087.65</v>
          </cell>
          <cell r="Z327">
            <v>0.27500000000000002</v>
          </cell>
          <cell r="AA327">
            <v>756.53</v>
          </cell>
          <cell r="AB327">
            <v>4087.65</v>
          </cell>
          <cell r="AC327">
            <v>0.27500000000000002</v>
          </cell>
          <cell r="AD327">
            <v>756.53</v>
          </cell>
          <cell r="AE327">
            <v>4087.65</v>
          </cell>
          <cell r="AF327">
            <v>0.27500000000000002</v>
          </cell>
          <cell r="AG327">
            <v>756.53</v>
          </cell>
          <cell r="AH327">
            <v>164.56</v>
          </cell>
        </row>
        <row r="328">
          <cell r="C328">
            <v>41244</v>
          </cell>
          <cell r="D328">
            <v>1637.11</v>
          </cell>
          <cell r="E328">
            <v>7.4999999999999997E-2</v>
          </cell>
          <cell r="F328">
            <v>122.78</v>
          </cell>
          <cell r="G328">
            <v>2453.5</v>
          </cell>
          <cell r="H328">
            <v>0.15</v>
          </cell>
          <cell r="I328">
            <v>306.8</v>
          </cell>
          <cell r="J328">
            <v>3271.38</v>
          </cell>
          <cell r="K328">
            <v>0.22500000000000001</v>
          </cell>
          <cell r="L328">
            <v>552.15</v>
          </cell>
          <cell r="M328">
            <v>4087.65</v>
          </cell>
          <cell r="N328">
            <v>0.27500000000000002</v>
          </cell>
          <cell r="O328">
            <v>756.53</v>
          </cell>
          <cell r="P328">
            <v>4087.65</v>
          </cell>
          <cell r="Q328">
            <v>0.27500000000000002</v>
          </cell>
          <cell r="R328">
            <v>756.53</v>
          </cell>
          <cell r="S328">
            <v>4087.65</v>
          </cell>
          <cell r="T328">
            <v>0.27500000000000002</v>
          </cell>
          <cell r="U328">
            <v>756.53</v>
          </cell>
          <cell r="V328">
            <v>4087.65</v>
          </cell>
          <cell r="W328">
            <v>0.27500000000000002</v>
          </cell>
          <cell r="X328">
            <v>756.53</v>
          </cell>
          <cell r="Y328">
            <v>4087.65</v>
          </cell>
          <cell r="Z328">
            <v>0.27500000000000002</v>
          </cell>
          <cell r="AA328">
            <v>756.53</v>
          </cell>
          <cell r="AB328">
            <v>4087.65</v>
          </cell>
          <cell r="AC328">
            <v>0.27500000000000002</v>
          </cell>
          <cell r="AD328">
            <v>756.53</v>
          </cell>
          <cell r="AE328">
            <v>4087.65</v>
          </cell>
          <cell r="AF328">
            <v>0.27500000000000002</v>
          </cell>
          <cell r="AG328">
            <v>756.53</v>
          </cell>
          <cell r="AH328">
            <v>164.56</v>
          </cell>
        </row>
        <row r="329">
          <cell r="C329">
            <v>41275</v>
          </cell>
          <cell r="D329">
            <v>1710.78</v>
          </cell>
          <cell r="E329">
            <v>7.4999999999999997E-2</v>
          </cell>
          <cell r="F329">
            <v>128.31</v>
          </cell>
          <cell r="G329">
            <v>2563.91</v>
          </cell>
          <cell r="H329">
            <v>0.15</v>
          </cell>
          <cell r="I329">
            <v>320.60000000000002</v>
          </cell>
          <cell r="J329">
            <v>3418.59</v>
          </cell>
          <cell r="K329">
            <v>0.22500000000000001</v>
          </cell>
          <cell r="L329">
            <v>577</v>
          </cell>
          <cell r="M329">
            <v>4271.59</v>
          </cell>
          <cell r="N329">
            <v>0.27500000000000002</v>
          </cell>
          <cell r="O329">
            <v>790.58</v>
          </cell>
          <cell r="P329">
            <v>4271.59</v>
          </cell>
          <cell r="Q329">
            <v>0.27500000000000002</v>
          </cell>
          <cell r="R329">
            <v>790.58</v>
          </cell>
          <cell r="S329">
            <v>4271.59</v>
          </cell>
          <cell r="T329">
            <v>0.27500000000000002</v>
          </cell>
          <cell r="U329">
            <v>790.58</v>
          </cell>
          <cell r="V329">
            <v>4271.59</v>
          </cell>
          <cell r="W329">
            <v>0.27500000000000002</v>
          </cell>
          <cell r="X329">
            <v>790.58</v>
          </cell>
          <cell r="Y329">
            <v>4271.59</v>
          </cell>
          <cell r="Z329">
            <v>0.27500000000000002</v>
          </cell>
          <cell r="AA329">
            <v>790.58</v>
          </cell>
          <cell r="AB329">
            <v>4271.59</v>
          </cell>
          <cell r="AC329">
            <v>0.27500000000000002</v>
          </cell>
          <cell r="AD329">
            <v>790.58</v>
          </cell>
          <cell r="AE329">
            <v>4271.59</v>
          </cell>
          <cell r="AF329">
            <v>0.27500000000000002</v>
          </cell>
          <cell r="AG329">
            <v>790.58</v>
          </cell>
          <cell r="AH329">
            <v>171.97</v>
          </cell>
        </row>
        <row r="330">
          <cell r="C330">
            <v>41306</v>
          </cell>
          <cell r="D330">
            <v>1710.78</v>
          </cell>
          <cell r="E330">
            <v>7.4999999999999997E-2</v>
          </cell>
          <cell r="F330">
            <v>128.31</v>
          </cell>
          <cell r="G330">
            <v>2563.91</v>
          </cell>
          <cell r="H330">
            <v>0.15</v>
          </cell>
          <cell r="I330">
            <v>320.60000000000002</v>
          </cell>
          <cell r="J330">
            <v>3418.59</v>
          </cell>
          <cell r="K330">
            <v>0.22500000000000001</v>
          </cell>
          <cell r="L330">
            <v>577</v>
          </cell>
          <cell r="M330">
            <v>4271.59</v>
          </cell>
          <cell r="N330">
            <v>0.27500000000000002</v>
          </cell>
          <cell r="O330">
            <v>790.58</v>
          </cell>
          <cell r="P330">
            <v>4271.59</v>
          </cell>
          <cell r="Q330">
            <v>0.27500000000000002</v>
          </cell>
          <cell r="R330">
            <v>790.58</v>
          </cell>
          <cell r="S330">
            <v>4271.59</v>
          </cell>
          <cell r="T330">
            <v>0.27500000000000002</v>
          </cell>
          <cell r="U330">
            <v>790.58</v>
          </cell>
          <cell r="V330">
            <v>4271.59</v>
          </cell>
          <cell r="W330">
            <v>0.27500000000000002</v>
          </cell>
          <cell r="X330">
            <v>790.58</v>
          </cell>
          <cell r="Y330">
            <v>4271.59</v>
          </cell>
          <cell r="Z330">
            <v>0.27500000000000002</v>
          </cell>
          <cell r="AA330">
            <v>790.58</v>
          </cell>
          <cell r="AB330">
            <v>4271.59</v>
          </cell>
          <cell r="AC330">
            <v>0.27500000000000002</v>
          </cell>
          <cell r="AD330">
            <v>790.58</v>
          </cell>
          <cell r="AE330">
            <v>4271.59</v>
          </cell>
          <cell r="AF330">
            <v>0.27500000000000002</v>
          </cell>
          <cell r="AG330">
            <v>790.58</v>
          </cell>
          <cell r="AH330">
            <v>171.97</v>
          </cell>
        </row>
        <row r="331">
          <cell r="C331">
            <v>41334</v>
          </cell>
          <cell r="D331">
            <v>1710.78</v>
          </cell>
          <cell r="E331">
            <v>7.4999999999999997E-2</v>
          </cell>
          <cell r="F331">
            <v>128.31</v>
          </cell>
          <cell r="G331">
            <v>2563.91</v>
          </cell>
          <cell r="H331">
            <v>0.15</v>
          </cell>
          <cell r="I331">
            <v>320.60000000000002</v>
          </cell>
          <cell r="J331">
            <v>3418.59</v>
          </cell>
          <cell r="K331">
            <v>0.22500000000000001</v>
          </cell>
          <cell r="L331">
            <v>577</v>
          </cell>
          <cell r="M331">
            <v>4271.59</v>
          </cell>
          <cell r="N331">
            <v>0.27500000000000002</v>
          </cell>
          <cell r="O331">
            <v>790.58</v>
          </cell>
          <cell r="P331">
            <v>4271.59</v>
          </cell>
          <cell r="Q331">
            <v>0.27500000000000002</v>
          </cell>
          <cell r="R331">
            <v>790.58</v>
          </cell>
          <cell r="S331">
            <v>4271.59</v>
          </cell>
          <cell r="T331">
            <v>0.27500000000000002</v>
          </cell>
          <cell r="U331">
            <v>790.58</v>
          </cell>
          <cell r="V331">
            <v>4271.59</v>
          </cell>
          <cell r="W331">
            <v>0.27500000000000002</v>
          </cell>
          <cell r="X331">
            <v>790.58</v>
          </cell>
          <cell r="Y331">
            <v>4271.59</v>
          </cell>
          <cell r="Z331">
            <v>0.27500000000000002</v>
          </cell>
          <cell r="AA331">
            <v>790.58</v>
          </cell>
          <cell r="AB331">
            <v>4271.59</v>
          </cell>
          <cell r="AC331">
            <v>0.27500000000000002</v>
          </cell>
          <cell r="AD331">
            <v>790.58</v>
          </cell>
          <cell r="AE331">
            <v>4271.59</v>
          </cell>
          <cell r="AF331">
            <v>0.27500000000000002</v>
          </cell>
          <cell r="AG331">
            <v>790.58</v>
          </cell>
          <cell r="AH331">
            <v>171.97</v>
          </cell>
        </row>
        <row r="332">
          <cell r="C332">
            <v>41365</v>
          </cell>
          <cell r="D332">
            <v>1710.78</v>
          </cell>
          <cell r="E332">
            <v>7.4999999999999997E-2</v>
          </cell>
          <cell r="F332">
            <v>128.31</v>
          </cell>
          <cell r="G332">
            <v>2563.91</v>
          </cell>
          <cell r="H332">
            <v>0.15</v>
          </cell>
          <cell r="I332">
            <v>320.60000000000002</v>
          </cell>
          <cell r="J332">
            <v>3418.59</v>
          </cell>
          <cell r="K332">
            <v>0.22500000000000001</v>
          </cell>
          <cell r="L332">
            <v>577</v>
          </cell>
          <cell r="M332">
            <v>4271.59</v>
          </cell>
          <cell r="N332">
            <v>0.27500000000000002</v>
          </cell>
          <cell r="O332">
            <v>790.58</v>
          </cell>
          <cell r="P332">
            <v>4271.59</v>
          </cell>
          <cell r="Q332">
            <v>0.27500000000000002</v>
          </cell>
          <cell r="R332">
            <v>790.58</v>
          </cell>
          <cell r="S332">
            <v>4271.59</v>
          </cell>
          <cell r="T332">
            <v>0.27500000000000002</v>
          </cell>
          <cell r="U332">
            <v>790.58</v>
          </cell>
          <cell r="V332">
            <v>4271.59</v>
          </cell>
          <cell r="W332">
            <v>0.27500000000000002</v>
          </cell>
          <cell r="X332">
            <v>790.58</v>
          </cell>
          <cell r="Y332">
            <v>4271.59</v>
          </cell>
          <cell r="Z332">
            <v>0.27500000000000002</v>
          </cell>
          <cell r="AA332">
            <v>790.58</v>
          </cell>
          <cell r="AB332">
            <v>4271.59</v>
          </cell>
          <cell r="AC332">
            <v>0.27500000000000002</v>
          </cell>
          <cell r="AD332">
            <v>790.58</v>
          </cell>
          <cell r="AE332">
            <v>4271.59</v>
          </cell>
          <cell r="AF332">
            <v>0.27500000000000002</v>
          </cell>
          <cell r="AG332">
            <v>790.58</v>
          </cell>
          <cell r="AH332">
            <v>171.97</v>
          </cell>
        </row>
        <row r="333">
          <cell r="C333">
            <v>41395</v>
          </cell>
          <cell r="D333">
            <v>1710.78</v>
          </cell>
          <cell r="E333">
            <v>7.4999999999999997E-2</v>
          </cell>
          <cell r="F333">
            <v>128.31</v>
          </cell>
          <cell r="G333">
            <v>2563.91</v>
          </cell>
          <cell r="H333">
            <v>0.15</v>
          </cell>
          <cell r="I333">
            <v>320.60000000000002</v>
          </cell>
          <cell r="J333">
            <v>3418.59</v>
          </cell>
          <cell r="K333">
            <v>0.22500000000000001</v>
          </cell>
          <cell r="L333">
            <v>577</v>
          </cell>
          <cell r="M333">
            <v>4271.59</v>
          </cell>
          <cell r="N333">
            <v>0.27500000000000002</v>
          </cell>
          <cell r="O333">
            <v>790.58</v>
          </cell>
          <cell r="P333">
            <v>4271.59</v>
          </cell>
          <cell r="Q333">
            <v>0.27500000000000002</v>
          </cell>
          <cell r="R333">
            <v>790.58</v>
          </cell>
          <cell r="S333">
            <v>4271.59</v>
          </cell>
          <cell r="T333">
            <v>0.27500000000000002</v>
          </cell>
          <cell r="U333">
            <v>790.58</v>
          </cell>
          <cell r="V333">
            <v>4271.59</v>
          </cell>
          <cell r="W333">
            <v>0.27500000000000002</v>
          </cell>
          <cell r="X333">
            <v>790.58</v>
          </cell>
          <cell r="Y333">
            <v>4271.59</v>
          </cell>
          <cell r="Z333">
            <v>0.27500000000000002</v>
          </cell>
          <cell r="AA333">
            <v>790.58</v>
          </cell>
          <cell r="AB333">
            <v>4271.59</v>
          </cell>
          <cell r="AC333">
            <v>0.27500000000000002</v>
          </cell>
          <cell r="AD333">
            <v>790.58</v>
          </cell>
          <cell r="AE333">
            <v>4271.59</v>
          </cell>
          <cell r="AF333">
            <v>0.27500000000000002</v>
          </cell>
          <cell r="AG333">
            <v>790.58</v>
          </cell>
          <cell r="AH333">
            <v>171.97</v>
          </cell>
        </row>
        <row r="334">
          <cell r="C334">
            <v>41426</v>
          </cell>
          <cell r="D334">
            <v>1710.78</v>
          </cell>
          <cell r="E334">
            <v>7.4999999999999997E-2</v>
          </cell>
          <cell r="F334">
            <v>128.31</v>
          </cell>
          <cell r="G334">
            <v>2563.91</v>
          </cell>
          <cell r="H334">
            <v>0.15</v>
          </cell>
          <cell r="I334">
            <v>320.60000000000002</v>
          </cell>
          <cell r="J334">
            <v>3418.59</v>
          </cell>
          <cell r="K334">
            <v>0.22500000000000001</v>
          </cell>
          <cell r="L334">
            <v>577</v>
          </cell>
          <cell r="M334">
            <v>4271.59</v>
          </cell>
          <cell r="N334">
            <v>0.27500000000000002</v>
          </cell>
          <cell r="O334">
            <v>790.58</v>
          </cell>
          <cell r="P334">
            <v>4271.59</v>
          </cell>
          <cell r="Q334">
            <v>0.27500000000000002</v>
          </cell>
          <cell r="R334">
            <v>790.58</v>
          </cell>
          <cell r="S334">
            <v>4271.59</v>
          </cell>
          <cell r="T334">
            <v>0.27500000000000002</v>
          </cell>
          <cell r="U334">
            <v>790.58</v>
          </cell>
          <cell r="V334">
            <v>4271.59</v>
          </cell>
          <cell r="W334">
            <v>0.27500000000000002</v>
          </cell>
          <cell r="X334">
            <v>790.58</v>
          </cell>
          <cell r="Y334">
            <v>4271.59</v>
          </cell>
          <cell r="Z334">
            <v>0.27500000000000002</v>
          </cell>
          <cell r="AA334">
            <v>790.58</v>
          </cell>
          <cell r="AB334">
            <v>4271.59</v>
          </cell>
          <cell r="AC334">
            <v>0.27500000000000002</v>
          </cell>
          <cell r="AD334">
            <v>790.58</v>
          </cell>
          <cell r="AE334">
            <v>4271.59</v>
          </cell>
          <cell r="AF334">
            <v>0.27500000000000002</v>
          </cell>
          <cell r="AG334">
            <v>790.58</v>
          </cell>
          <cell r="AH334">
            <v>171.97</v>
          </cell>
        </row>
        <row r="335">
          <cell r="C335">
            <v>41456</v>
          </cell>
          <cell r="D335">
            <v>1710.78</v>
          </cell>
          <cell r="E335">
            <v>7.4999999999999997E-2</v>
          </cell>
          <cell r="F335">
            <v>128.31</v>
          </cell>
          <cell r="G335">
            <v>2563.91</v>
          </cell>
          <cell r="H335">
            <v>0.15</v>
          </cell>
          <cell r="I335">
            <v>320.60000000000002</v>
          </cell>
          <cell r="J335">
            <v>3418.59</v>
          </cell>
          <cell r="K335">
            <v>0.22500000000000001</v>
          </cell>
          <cell r="L335">
            <v>577</v>
          </cell>
          <cell r="M335">
            <v>4271.59</v>
          </cell>
          <cell r="N335">
            <v>0.27500000000000002</v>
          </cell>
          <cell r="O335">
            <v>790.58</v>
          </cell>
          <cell r="P335">
            <v>4271.59</v>
          </cell>
          <cell r="Q335">
            <v>0.27500000000000002</v>
          </cell>
          <cell r="R335">
            <v>790.58</v>
          </cell>
          <cell r="S335">
            <v>4271.59</v>
          </cell>
          <cell r="T335">
            <v>0.27500000000000002</v>
          </cell>
          <cell r="U335">
            <v>790.58</v>
          </cell>
          <cell r="V335">
            <v>4271.59</v>
          </cell>
          <cell r="W335">
            <v>0.27500000000000002</v>
          </cell>
          <cell r="X335">
            <v>790.58</v>
          </cell>
          <cell r="Y335">
            <v>4271.59</v>
          </cell>
          <cell r="Z335">
            <v>0.27500000000000002</v>
          </cell>
          <cell r="AA335">
            <v>790.58</v>
          </cell>
          <cell r="AB335">
            <v>4271.59</v>
          </cell>
          <cell r="AC335">
            <v>0.27500000000000002</v>
          </cell>
          <cell r="AD335">
            <v>790.58</v>
          </cell>
          <cell r="AE335">
            <v>4271.59</v>
          </cell>
          <cell r="AF335">
            <v>0.27500000000000002</v>
          </cell>
          <cell r="AG335">
            <v>790.58</v>
          </cell>
          <cell r="AH335">
            <v>171.97</v>
          </cell>
        </row>
        <row r="336">
          <cell r="C336">
            <v>41487</v>
          </cell>
          <cell r="D336">
            <v>1710.78</v>
          </cell>
          <cell r="E336">
            <v>7.4999999999999997E-2</v>
          </cell>
          <cell r="F336">
            <v>128.31</v>
          </cell>
          <cell r="G336">
            <v>2563.91</v>
          </cell>
          <cell r="H336">
            <v>0.15</v>
          </cell>
          <cell r="I336">
            <v>320.60000000000002</v>
          </cell>
          <cell r="J336">
            <v>3418.59</v>
          </cell>
          <cell r="K336">
            <v>0.22500000000000001</v>
          </cell>
          <cell r="L336">
            <v>577</v>
          </cell>
          <cell r="M336">
            <v>4271.59</v>
          </cell>
          <cell r="N336">
            <v>0.27500000000000002</v>
          </cell>
          <cell r="O336">
            <v>790.58</v>
          </cell>
          <cell r="P336">
            <v>4271.59</v>
          </cell>
          <cell r="Q336">
            <v>0.27500000000000002</v>
          </cell>
          <cell r="R336">
            <v>790.58</v>
          </cell>
          <cell r="S336">
            <v>4271.59</v>
          </cell>
          <cell r="T336">
            <v>0.27500000000000002</v>
          </cell>
          <cell r="U336">
            <v>790.58</v>
          </cell>
          <cell r="V336">
            <v>4271.59</v>
          </cell>
          <cell r="W336">
            <v>0.27500000000000002</v>
          </cell>
          <cell r="X336">
            <v>790.58</v>
          </cell>
          <cell r="Y336">
            <v>4271.59</v>
          </cell>
          <cell r="Z336">
            <v>0.27500000000000002</v>
          </cell>
          <cell r="AA336">
            <v>790.58</v>
          </cell>
          <cell r="AB336">
            <v>4271.59</v>
          </cell>
          <cell r="AC336">
            <v>0.27500000000000002</v>
          </cell>
          <cell r="AD336">
            <v>790.58</v>
          </cell>
          <cell r="AE336">
            <v>4271.59</v>
          </cell>
          <cell r="AF336">
            <v>0.27500000000000002</v>
          </cell>
          <cell r="AG336">
            <v>790.58</v>
          </cell>
          <cell r="AH336">
            <v>171.97</v>
          </cell>
        </row>
        <row r="337">
          <cell r="C337">
            <v>41518</v>
          </cell>
          <cell r="D337">
            <v>1710.78</v>
          </cell>
          <cell r="E337">
            <v>7.4999999999999997E-2</v>
          </cell>
          <cell r="F337">
            <v>128.31</v>
          </cell>
          <cell r="G337">
            <v>2563.91</v>
          </cell>
          <cell r="H337">
            <v>0.15</v>
          </cell>
          <cell r="I337">
            <v>320.60000000000002</v>
          </cell>
          <cell r="J337">
            <v>3418.59</v>
          </cell>
          <cell r="K337">
            <v>0.22500000000000001</v>
          </cell>
          <cell r="L337">
            <v>577</v>
          </cell>
          <cell r="M337">
            <v>4271.59</v>
          </cell>
          <cell r="N337">
            <v>0.27500000000000002</v>
          </cell>
          <cell r="O337">
            <v>790.58</v>
          </cell>
          <cell r="P337">
            <v>4271.59</v>
          </cell>
          <cell r="Q337">
            <v>0.27500000000000002</v>
          </cell>
          <cell r="R337">
            <v>790.58</v>
          </cell>
          <cell r="S337">
            <v>4271.59</v>
          </cell>
          <cell r="T337">
            <v>0.27500000000000002</v>
          </cell>
          <cell r="U337">
            <v>790.58</v>
          </cell>
          <cell r="V337">
            <v>4271.59</v>
          </cell>
          <cell r="W337">
            <v>0.27500000000000002</v>
          </cell>
          <cell r="X337">
            <v>790.58</v>
          </cell>
          <cell r="Y337">
            <v>4271.59</v>
          </cell>
          <cell r="Z337">
            <v>0.27500000000000002</v>
          </cell>
          <cell r="AA337">
            <v>790.58</v>
          </cell>
          <cell r="AB337">
            <v>4271.59</v>
          </cell>
          <cell r="AC337">
            <v>0.27500000000000002</v>
          </cell>
          <cell r="AD337">
            <v>790.58</v>
          </cell>
          <cell r="AE337">
            <v>4271.59</v>
          </cell>
          <cell r="AF337">
            <v>0.27500000000000002</v>
          </cell>
          <cell r="AG337">
            <v>790.58</v>
          </cell>
          <cell r="AH337">
            <v>171.97</v>
          </cell>
        </row>
        <row r="338">
          <cell r="C338">
            <v>41548</v>
          </cell>
          <cell r="D338">
            <v>1710.78</v>
          </cell>
          <cell r="E338">
            <v>7.4999999999999997E-2</v>
          </cell>
          <cell r="F338">
            <v>128.31</v>
          </cell>
          <cell r="G338">
            <v>2563.91</v>
          </cell>
          <cell r="H338">
            <v>0.15</v>
          </cell>
          <cell r="I338">
            <v>320.60000000000002</v>
          </cell>
          <cell r="J338">
            <v>3418.59</v>
          </cell>
          <cell r="K338">
            <v>0.22500000000000001</v>
          </cell>
          <cell r="L338">
            <v>577</v>
          </cell>
          <cell r="M338">
            <v>4271.59</v>
          </cell>
          <cell r="N338">
            <v>0.27500000000000002</v>
          </cell>
          <cell r="O338">
            <v>790.58</v>
          </cell>
          <cell r="P338">
            <v>4271.59</v>
          </cell>
          <cell r="Q338">
            <v>0.27500000000000002</v>
          </cell>
          <cell r="R338">
            <v>790.58</v>
          </cell>
          <cell r="S338">
            <v>4271.59</v>
          </cell>
          <cell r="T338">
            <v>0.27500000000000002</v>
          </cell>
          <cell r="U338">
            <v>790.58</v>
          </cell>
          <cell r="V338">
            <v>4271.59</v>
          </cell>
          <cell r="W338">
            <v>0.27500000000000002</v>
          </cell>
          <cell r="X338">
            <v>790.58</v>
          </cell>
          <cell r="Y338">
            <v>4271.59</v>
          </cell>
          <cell r="Z338">
            <v>0.27500000000000002</v>
          </cell>
          <cell r="AA338">
            <v>790.58</v>
          </cell>
          <cell r="AB338">
            <v>4271.59</v>
          </cell>
          <cell r="AC338">
            <v>0.27500000000000002</v>
          </cell>
          <cell r="AD338">
            <v>790.58</v>
          </cell>
          <cell r="AE338">
            <v>4271.59</v>
          </cell>
          <cell r="AF338">
            <v>0.27500000000000002</v>
          </cell>
          <cell r="AG338">
            <v>790.58</v>
          </cell>
          <cell r="AH338">
            <v>171.97</v>
          </cell>
        </row>
        <row r="339">
          <cell r="C339">
            <v>41579</v>
          </cell>
          <cell r="D339">
            <v>1710.78</v>
          </cell>
          <cell r="E339">
            <v>7.4999999999999997E-2</v>
          </cell>
          <cell r="F339">
            <v>128.31</v>
          </cell>
          <cell r="G339">
            <v>2563.91</v>
          </cell>
          <cell r="H339">
            <v>0.15</v>
          </cell>
          <cell r="I339">
            <v>320.60000000000002</v>
          </cell>
          <cell r="J339">
            <v>3418.59</v>
          </cell>
          <cell r="K339">
            <v>0.22500000000000001</v>
          </cell>
          <cell r="L339">
            <v>577</v>
          </cell>
          <cell r="M339">
            <v>4271.59</v>
          </cell>
          <cell r="N339">
            <v>0.27500000000000002</v>
          </cell>
          <cell r="O339">
            <v>790.58</v>
          </cell>
          <cell r="P339">
            <v>4271.59</v>
          </cell>
          <cell r="Q339">
            <v>0.27500000000000002</v>
          </cell>
          <cell r="R339">
            <v>790.58</v>
          </cell>
          <cell r="S339">
            <v>4271.59</v>
          </cell>
          <cell r="T339">
            <v>0.27500000000000002</v>
          </cell>
          <cell r="U339">
            <v>790.58</v>
          </cell>
          <cell r="V339">
            <v>4271.59</v>
          </cell>
          <cell r="W339">
            <v>0.27500000000000002</v>
          </cell>
          <cell r="X339">
            <v>790.58</v>
          </cell>
          <cell r="Y339">
            <v>4271.59</v>
          </cell>
          <cell r="Z339">
            <v>0.27500000000000002</v>
          </cell>
          <cell r="AA339">
            <v>790.58</v>
          </cell>
          <cell r="AB339">
            <v>4271.59</v>
          </cell>
          <cell r="AC339">
            <v>0.27500000000000002</v>
          </cell>
          <cell r="AD339">
            <v>790.58</v>
          </cell>
          <cell r="AE339">
            <v>4271.59</v>
          </cell>
          <cell r="AF339">
            <v>0.27500000000000002</v>
          </cell>
          <cell r="AG339">
            <v>790.58</v>
          </cell>
          <cell r="AH339">
            <v>171.97</v>
          </cell>
        </row>
        <row r="340">
          <cell r="C340">
            <v>41609</v>
          </cell>
          <cell r="D340">
            <v>1710.78</v>
          </cell>
          <cell r="E340">
            <v>7.4999999999999997E-2</v>
          </cell>
          <cell r="F340">
            <v>128.31</v>
          </cell>
          <cell r="G340">
            <v>2563.91</v>
          </cell>
          <cell r="H340">
            <v>0.15</v>
          </cell>
          <cell r="I340">
            <v>320.60000000000002</v>
          </cell>
          <cell r="J340">
            <v>3418.59</v>
          </cell>
          <cell r="K340">
            <v>0.22500000000000001</v>
          </cell>
          <cell r="L340">
            <v>577</v>
          </cell>
          <cell r="M340">
            <v>4271.59</v>
          </cell>
          <cell r="N340">
            <v>0.27500000000000002</v>
          </cell>
          <cell r="O340">
            <v>790.58</v>
          </cell>
          <cell r="P340">
            <v>4271.59</v>
          </cell>
          <cell r="Q340">
            <v>0.27500000000000002</v>
          </cell>
          <cell r="R340">
            <v>790.58</v>
          </cell>
          <cell r="S340">
            <v>4271.59</v>
          </cell>
          <cell r="T340">
            <v>0.27500000000000002</v>
          </cell>
          <cell r="U340">
            <v>790.58</v>
          </cell>
          <cell r="V340">
            <v>4271.59</v>
          </cell>
          <cell r="W340">
            <v>0.27500000000000002</v>
          </cell>
          <cell r="X340">
            <v>790.58</v>
          </cell>
          <cell r="Y340">
            <v>4271.59</v>
          </cell>
          <cell r="Z340">
            <v>0.27500000000000002</v>
          </cell>
          <cell r="AA340">
            <v>790.58</v>
          </cell>
          <cell r="AB340">
            <v>4271.59</v>
          </cell>
          <cell r="AC340">
            <v>0.27500000000000002</v>
          </cell>
          <cell r="AD340">
            <v>790.58</v>
          </cell>
          <cell r="AE340">
            <v>4271.59</v>
          </cell>
          <cell r="AF340">
            <v>0.27500000000000002</v>
          </cell>
          <cell r="AG340">
            <v>790.58</v>
          </cell>
          <cell r="AH340">
            <v>171.97</v>
          </cell>
        </row>
        <row r="341">
          <cell r="C341">
            <v>41640</v>
          </cell>
          <cell r="D341">
            <v>1787.77</v>
          </cell>
          <cell r="E341">
            <v>7.4999999999999997E-2</v>
          </cell>
          <cell r="F341">
            <v>134.08000000000001</v>
          </cell>
          <cell r="G341">
            <v>2679.29</v>
          </cell>
          <cell r="H341">
            <v>0.15</v>
          </cell>
          <cell r="I341">
            <v>335.03</v>
          </cell>
          <cell r="J341">
            <v>3572.43</v>
          </cell>
          <cell r="K341">
            <v>0.22500000000000001</v>
          </cell>
          <cell r="L341">
            <v>602.96</v>
          </cell>
          <cell r="M341">
            <v>4463.8100000000004</v>
          </cell>
          <cell r="N341">
            <v>0.27500000000000002</v>
          </cell>
          <cell r="O341">
            <v>826.15</v>
          </cell>
          <cell r="P341">
            <v>4463.8100000000004</v>
          </cell>
          <cell r="Q341">
            <v>0.27500000000000002</v>
          </cell>
          <cell r="R341">
            <v>826.15</v>
          </cell>
          <cell r="S341">
            <v>4463.8100000000004</v>
          </cell>
          <cell r="T341">
            <v>0.27500000000000002</v>
          </cell>
          <cell r="U341">
            <v>826.15</v>
          </cell>
          <cell r="V341">
            <v>4463.8100000000004</v>
          </cell>
          <cell r="W341">
            <v>0.27500000000000002</v>
          </cell>
          <cell r="X341">
            <v>826.15</v>
          </cell>
          <cell r="Y341">
            <v>4463.8100000000004</v>
          </cell>
          <cell r="Z341">
            <v>0.27500000000000002</v>
          </cell>
          <cell r="AA341">
            <v>826.15</v>
          </cell>
          <cell r="AB341">
            <v>4463.8100000000004</v>
          </cell>
          <cell r="AC341">
            <v>0.27500000000000002</v>
          </cell>
          <cell r="AD341">
            <v>826.15</v>
          </cell>
          <cell r="AE341">
            <v>4463.8100000000004</v>
          </cell>
          <cell r="AF341">
            <v>0.27500000000000002</v>
          </cell>
          <cell r="AG341">
            <v>826.15</v>
          </cell>
          <cell r="AH341">
            <v>179.71</v>
          </cell>
        </row>
        <row r="342">
          <cell r="C342">
            <v>41671</v>
          </cell>
          <cell r="D342">
            <v>1787.77</v>
          </cell>
          <cell r="E342">
            <v>7.4999999999999997E-2</v>
          </cell>
          <cell r="F342">
            <v>134.08000000000001</v>
          </cell>
          <cell r="G342">
            <v>2679.29</v>
          </cell>
          <cell r="H342">
            <v>0.15</v>
          </cell>
          <cell r="I342">
            <v>335.03</v>
          </cell>
          <cell r="J342">
            <v>3572.43</v>
          </cell>
          <cell r="K342">
            <v>0.22500000000000001</v>
          </cell>
          <cell r="L342">
            <v>602.96</v>
          </cell>
          <cell r="M342">
            <v>4463.8100000000004</v>
          </cell>
          <cell r="N342">
            <v>0.27500000000000002</v>
          </cell>
          <cell r="O342">
            <v>826.15</v>
          </cell>
          <cell r="P342">
            <v>4463.8100000000004</v>
          </cell>
          <cell r="Q342">
            <v>0.27500000000000002</v>
          </cell>
          <cell r="R342">
            <v>826.15</v>
          </cell>
          <cell r="S342">
            <v>4463.8100000000004</v>
          </cell>
          <cell r="T342">
            <v>0.27500000000000002</v>
          </cell>
          <cell r="U342">
            <v>826.15</v>
          </cell>
          <cell r="V342">
            <v>4463.8100000000004</v>
          </cell>
          <cell r="W342">
            <v>0.27500000000000002</v>
          </cell>
          <cell r="X342">
            <v>826.15</v>
          </cell>
          <cell r="Y342">
            <v>4463.8100000000004</v>
          </cell>
          <cell r="Z342">
            <v>0.27500000000000002</v>
          </cell>
          <cell r="AA342">
            <v>826.15</v>
          </cell>
          <cell r="AB342">
            <v>4463.8100000000004</v>
          </cell>
          <cell r="AC342">
            <v>0.27500000000000002</v>
          </cell>
          <cell r="AD342">
            <v>826.15</v>
          </cell>
          <cell r="AE342">
            <v>4463.8100000000004</v>
          </cell>
          <cell r="AF342">
            <v>0.27500000000000002</v>
          </cell>
          <cell r="AG342">
            <v>826.15</v>
          </cell>
          <cell r="AH342">
            <v>179.71</v>
          </cell>
        </row>
        <row r="343">
          <cell r="C343">
            <v>41699</v>
          </cell>
          <cell r="D343">
            <v>1787.77</v>
          </cell>
          <cell r="E343">
            <v>7.4999999999999997E-2</v>
          </cell>
          <cell r="F343">
            <v>134.08000000000001</v>
          </cell>
          <cell r="G343">
            <v>2679.29</v>
          </cell>
          <cell r="H343">
            <v>0.15</v>
          </cell>
          <cell r="I343">
            <v>335.03</v>
          </cell>
          <cell r="J343">
            <v>3572.43</v>
          </cell>
          <cell r="K343">
            <v>0.22500000000000001</v>
          </cell>
          <cell r="L343">
            <v>602.96</v>
          </cell>
          <cell r="M343">
            <v>4463.8100000000004</v>
          </cell>
          <cell r="N343">
            <v>0.27500000000000002</v>
          </cell>
          <cell r="O343">
            <v>826.15</v>
          </cell>
          <cell r="P343">
            <v>4463.8100000000004</v>
          </cell>
          <cell r="Q343">
            <v>0.27500000000000002</v>
          </cell>
          <cell r="R343">
            <v>826.15</v>
          </cell>
          <cell r="S343">
            <v>4463.8100000000004</v>
          </cell>
          <cell r="T343">
            <v>0.27500000000000002</v>
          </cell>
          <cell r="U343">
            <v>826.15</v>
          </cell>
          <cell r="V343">
            <v>4463.8100000000004</v>
          </cell>
          <cell r="W343">
            <v>0.27500000000000002</v>
          </cell>
          <cell r="X343">
            <v>826.15</v>
          </cell>
          <cell r="Y343">
            <v>4463.8100000000004</v>
          </cell>
          <cell r="Z343">
            <v>0.27500000000000002</v>
          </cell>
          <cell r="AA343">
            <v>826.15</v>
          </cell>
          <cell r="AB343">
            <v>4463.8100000000004</v>
          </cell>
          <cell r="AC343">
            <v>0.27500000000000002</v>
          </cell>
          <cell r="AD343">
            <v>826.15</v>
          </cell>
          <cell r="AE343">
            <v>4463.8100000000004</v>
          </cell>
          <cell r="AF343">
            <v>0.27500000000000002</v>
          </cell>
          <cell r="AG343">
            <v>826.15</v>
          </cell>
          <cell r="AH343">
            <v>179.71</v>
          </cell>
        </row>
        <row r="344">
          <cell r="C344">
            <v>41730</v>
          </cell>
          <cell r="D344">
            <v>1787.77</v>
          </cell>
          <cell r="E344">
            <v>7.4999999999999997E-2</v>
          </cell>
          <cell r="F344">
            <v>134.08000000000001</v>
          </cell>
          <cell r="G344">
            <v>2679.29</v>
          </cell>
          <cell r="H344">
            <v>0.15</v>
          </cell>
          <cell r="I344">
            <v>335.03</v>
          </cell>
          <cell r="J344">
            <v>3572.43</v>
          </cell>
          <cell r="K344">
            <v>0.22500000000000001</v>
          </cell>
          <cell r="L344">
            <v>602.96</v>
          </cell>
          <cell r="M344">
            <v>4463.8100000000004</v>
          </cell>
          <cell r="N344">
            <v>0.27500000000000002</v>
          </cell>
          <cell r="O344">
            <v>826.15</v>
          </cell>
          <cell r="P344">
            <v>4463.8100000000004</v>
          </cell>
          <cell r="Q344">
            <v>0.27500000000000002</v>
          </cell>
          <cell r="R344">
            <v>826.15</v>
          </cell>
          <cell r="S344">
            <v>4463.8100000000004</v>
          </cell>
          <cell r="T344">
            <v>0.27500000000000002</v>
          </cell>
          <cell r="U344">
            <v>826.15</v>
          </cell>
          <cell r="V344">
            <v>4463.8100000000004</v>
          </cell>
          <cell r="W344">
            <v>0.27500000000000002</v>
          </cell>
          <cell r="X344">
            <v>826.15</v>
          </cell>
          <cell r="Y344">
            <v>4463.8100000000004</v>
          </cell>
          <cell r="Z344">
            <v>0.27500000000000002</v>
          </cell>
          <cell r="AA344">
            <v>826.15</v>
          </cell>
          <cell r="AB344">
            <v>4463.8100000000004</v>
          </cell>
          <cell r="AC344">
            <v>0.27500000000000002</v>
          </cell>
          <cell r="AD344">
            <v>826.15</v>
          </cell>
          <cell r="AE344">
            <v>4463.8100000000004</v>
          </cell>
          <cell r="AF344">
            <v>0.27500000000000002</v>
          </cell>
          <cell r="AG344">
            <v>826.15</v>
          </cell>
          <cell r="AH344">
            <v>179.71</v>
          </cell>
        </row>
        <row r="345">
          <cell r="C345">
            <v>41760</v>
          </cell>
          <cell r="D345">
            <v>1787.77</v>
          </cell>
          <cell r="E345">
            <v>7.4999999999999997E-2</v>
          </cell>
          <cell r="F345">
            <v>134.08000000000001</v>
          </cell>
          <cell r="G345">
            <v>2679.29</v>
          </cell>
          <cell r="H345">
            <v>0.15</v>
          </cell>
          <cell r="I345">
            <v>335.03</v>
          </cell>
          <cell r="J345">
            <v>3572.43</v>
          </cell>
          <cell r="K345">
            <v>0.22500000000000001</v>
          </cell>
          <cell r="L345">
            <v>602.96</v>
          </cell>
          <cell r="M345">
            <v>4463.8100000000004</v>
          </cell>
          <cell r="N345">
            <v>0.27500000000000002</v>
          </cell>
          <cell r="O345">
            <v>826.15</v>
          </cell>
          <cell r="P345">
            <v>4463.8100000000004</v>
          </cell>
          <cell r="Q345">
            <v>0.27500000000000002</v>
          </cell>
          <cell r="R345">
            <v>826.15</v>
          </cell>
          <cell r="S345">
            <v>4463.8100000000004</v>
          </cell>
          <cell r="T345">
            <v>0.27500000000000002</v>
          </cell>
          <cell r="U345">
            <v>826.15</v>
          </cell>
          <cell r="V345">
            <v>4463.8100000000004</v>
          </cell>
          <cell r="W345">
            <v>0.27500000000000002</v>
          </cell>
          <cell r="X345">
            <v>826.15</v>
          </cell>
          <cell r="Y345">
            <v>4463.8100000000004</v>
          </cell>
          <cell r="Z345">
            <v>0.27500000000000002</v>
          </cell>
          <cell r="AA345">
            <v>826.15</v>
          </cell>
          <cell r="AB345">
            <v>4463.8100000000004</v>
          </cell>
          <cell r="AC345">
            <v>0.27500000000000002</v>
          </cell>
          <cell r="AD345">
            <v>826.15</v>
          </cell>
          <cell r="AE345">
            <v>4463.8100000000004</v>
          </cell>
          <cell r="AF345">
            <v>0.27500000000000002</v>
          </cell>
          <cell r="AG345">
            <v>826.15</v>
          </cell>
          <cell r="AH345">
            <v>179.71</v>
          </cell>
        </row>
        <row r="346">
          <cell r="C346">
            <v>41791</v>
          </cell>
          <cell r="D346">
            <v>1787.77</v>
          </cell>
          <cell r="E346">
            <v>7.4999999999999997E-2</v>
          </cell>
          <cell r="F346">
            <v>134.08000000000001</v>
          </cell>
          <cell r="G346">
            <v>2679.29</v>
          </cell>
          <cell r="H346">
            <v>0.15</v>
          </cell>
          <cell r="I346">
            <v>335.03</v>
          </cell>
          <cell r="J346">
            <v>3572.43</v>
          </cell>
          <cell r="K346">
            <v>0.22500000000000001</v>
          </cell>
          <cell r="L346">
            <v>602.96</v>
          </cell>
          <cell r="M346">
            <v>4463.8100000000004</v>
          </cell>
          <cell r="N346">
            <v>0.27500000000000002</v>
          </cell>
          <cell r="O346">
            <v>826.15</v>
          </cell>
          <cell r="P346">
            <v>4463.8100000000004</v>
          </cell>
          <cell r="Q346">
            <v>0.27500000000000002</v>
          </cell>
          <cell r="R346">
            <v>826.15</v>
          </cell>
          <cell r="S346">
            <v>4463.8100000000004</v>
          </cell>
          <cell r="T346">
            <v>0.27500000000000002</v>
          </cell>
          <cell r="U346">
            <v>826.15</v>
          </cell>
          <cell r="V346">
            <v>4463.8100000000004</v>
          </cell>
          <cell r="W346">
            <v>0.27500000000000002</v>
          </cell>
          <cell r="X346">
            <v>826.15</v>
          </cell>
          <cell r="Y346">
            <v>4463.8100000000004</v>
          </cell>
          <cell r="Z346">
            <v>0.27500000000000002</v>
          </cell>
          <cell r="AA346">
            <v>826.15</v>
          </cell>
          <cell r="AB346">
            <v>4463.8100000000004</v>
          </cell>
          <cell r="AC346">
            <v>0.27500000000000002</v>
          </cell>
          <cell r="AD346">
            <v>826.15</v>
          </cell>
          <cell r="AE346">
            <v>4463.8100000000004</v>
          </cell>
          <cell r="AF346">
            <v>0.27500000000000002</v>
          </cell>
          <cell r="AG346">
            <v>826.15</v>
          </cell>
          <cell r="AH346">
            <v>179.71</v>
          </cell>
        </row>
        <row r="347">
          <cell r="C347">
            <v>41821</v>
          </cell>
          <cell r="D347">
            <v>1787.77</v>
          </cell>
          <cell r="E347">
            <v>7.4999999999999997E-2</v>
          </cell>
          <cell r="F347">
            <v>134.08000000000001</v>
          </cell>
          <cell r="G347">
            <v>2679.29</v>
          </cell>
          <cell r="H347">
            <v>0.15</v>
          </cell>
          <cell r="I347">
            <v>335.03</v>
          </cell>
          <cell r="J347">
            <v>3572.43</v>
          </cell>
          <cell r="K347">
            <v>0.22500000000000001</v>
          </cell>
          <cell r="L347">
            <v>602.96</v>
          </cell>
          <cell r="M347">
            <v>4463.8100000000004</v>
          </cell>
          <cell r="N347">
            <v>0.27500000000000002</v>
          </cell>
          <cell r="O347">
            <v>826.15</v>
          </cell>
          <cell r="P347">
            <v>4463.8100000000004</v>
          </cell>
          <cell r="Q347">
            <v>0.27500000000000002</v>
          </cell>
          <cell r="R347">
            <v>826.15</v>
          </cell>
          <cell r="S347">
            <v>4463.8100000000004</v>
          </cell>
          <cell r="T347">
            <v>0.27500000000000002</v>
          </cell>
          <cell r="U347">
            <v>826.15</v>
          </cell>
          <cell r="V347">
            <v>4463.8100000000004</v>
          </cell>
          <cell r="W347">
            <v>0.27500000000000002</v>
          </cell>
          <cell r="X347">
            <v>826.15</v>
          </cell>
          <cell r="Y347">
            <v>4463.8100000000004</v>
          </cell>
          <cell r="Z347">
            <v>0.27500000000000002</v>
          </cell>
          <cell r="AA347">
            <v>826.15</v>
          </cell>
          <cell r="AB347">
            <v>4463.8100000000004</v>
          </cell>
          <cell r="AC347">
            <v>0.27500000000000002</v>
          </cell>
          <cell r="AD347">
            <v>826.15</v>
          </cell>
          <cell r="AE347">
            <v>4463.8100000000004</v>
          </cell>
          <cell r="AF347">
            <v>0.27500000000000002</v>
          </cell>
          <cell r="AG347">
            <v>826.15</v>
          </cell>
          <cell r="AH347">
            <v>179.71</v>
          </cell>
        </row>
        <row r="348">
          <cell r="C348">
            <v>41852</v>
          </cell>
          <cell r="D348">
            <v>1787.77</v>
          </cell>
          <cell r="E348">
            <v>7.4999999999999997E-2</v>
          </cell>
          <cell r="F348">
            <v>134.08000000000001</v>
          </cell>
          <cell r="G348">
            <v>2679.29</v>
          </cell>
          <cell r="H348">
            <v>0.15</v>
          </cell>
          <cell r="I348">
            <v>335.03</v>
          </cell>
          <cell r="J348">
            <v>3572.43</v>
          </cell>
          <cell r="K348">
            <v>0.22500000000000001</v>
          </cell>
          <cell r="L348">
            <v>602.96</v>
          </cell>
          <cell r="M348">
            <v>4463.8100000000004</v>
          </cell>
          <cell r="N348">
            <v>0.27500000000000002</v>
          </cell>
          <cell r="O348">
            <v>826.15</v>
          </cell>
          <cell r="P348">
            <v>4463.8100000000004</v>
          </cell>
          <cell r="Q348">
            <v>0.27500000000000002</v>
          </cell>
          <cell r="R348">
            <v>826.15</v>
          </cell>
          <cell r="S348">
            <v>4463.8100000000004</v>
          </cell>
          <cell r="T348">
            <v>0.27500000000000002</v>
          </cell>
          <cell r="U348">
            <v>826.15</v>
          </cell>
          <cell r="V348">
            <v>4463.8100000000004</v>
          </cell>
          <cell r="W348">
            <v>0.27500000000000002</v>
          </cell>
          <cell r="X348">
            <v>826.15</v>
          </cell>
          <cell r="Y348">
            <v>4463.8100000000004</v>
          </cell>
          <cell r="Z348">
            <v>0.27500000000000002</v>
          </cell>
          <cell r="AA348">
            <v>826.15</v>
          </cell>
          <cell r="AB348">
            <v>4463.8100000000004</v>
          </cell>
          <cell r="AC348">
            <v>0.27500000000000002</v>
          </cell>
          <cell r="AD348">
            <v>826.15</v>
          </cell>
          <cell r="AE348">
            <v>4463.8100000000004</v>
          </cell>
          <cell r="AF348">
            <v>0.27500000000000002</v>
          </cell>
          <cell r="AG348">
            <v>826.15</v>
          </cell>
          <cell r="AH348">
            <v>179.71</v>
          </cell>
        </row>
        <row r="349">
          <cell r="C349">
            <v>41883</v>
          </cell>
          <cell r="D349">
            <v>1787.77</v>
          </cell>
          <cell r="E349">
            <v>7.4999999999999997E-2</v>
          </cell>
          <cell r="F349">
            <v>134.08000000000001</v>
          </cell>
          <cell r="G349">
            <v>2679.29</v>
          </cell>
          <cell r="H349">
            <v>0.15</v>
          </cell>
          <cell r="I349">
            <v>335.03</v>
          </cell>
          <cell r="J349">
            <v>3572.43</v>
          </cell>
          <cell r="K349">
            <v>0.22500000000000001</v>
          </cell>
          <cell r="L349">
            <v>602.96</v>
          </cell>
          <cell r="M349">
            <v>4463.8100000000004</v>
          </cell>
          <cell r="N349">
            <v>0.27500000000000002</v>
          </cell>
          <cell r="O349">
            <v>826.15</v>
          </cell>
          <cell r="P349">
            <v>4463.8100000000004</v>
          </cell>
          <cell r="Q349">
            <v>0.27500000000000002</v>
          </cell>
          <cell r="R349">
            <v>826.15</v>
          </cell>
          <cell r="S349">
            <v>4463.8100000000004</v>
          </cell>
          <cell r="T349">
            <v>0.27500000000000002</v>
          </cell>
          <cell r="U349">
            <v>826.15</v>
          </cell>
          <cell r="V349">
            <v>4463.8100000000004</v>
          </cell>
          <cell r="W349">
            <v>0.27500000000000002</v>
          </cell>
          <cell r="X349">
            <v>826.15</v>
          </cell>
          <cell r="Y349">
            <v>4463.8100000000004</v>
          </cell>
          <cell r="Z349">
            <v>0.27500000000000002</v>
          </cell>
          <cell r="AA349">
            <v>826.15</v>
          </cell>
          <cell r="AB349">
            <v>4463.8100000000004</v>
          </cell>
          <cell r="AC349">
            <v>0.27500000000000002</v>
          </cell>
          <cell r="AD349">
            <v>826.15</v>
          </cell>
          <cell r="AE349">
            <v>4463.8100000000004</v>
          </cell>
          <cell r="AF349">
            <v>0.27500000000000002</v>
          </cell>
          <cell r="AG349">
            <v>826.15</v>
          </cell>
          <cell r="AH349">
            <v>179.71</v>
          </cell>
        </row>
        <row r="350">
          <cell r="C350">
            <v>41913</v>
          </cell>
          <cell r="D350">
            <v>1787.77</v>
          </cell>
          <cell r="E350">
            <v>7.4999999999999997E-2</v>
          </cell>
          <cell r="F350">
            <v>134.08000000000001</v>
          </cell>
          <cell r="G350">
            <v>2679.29</v>
          </cell>
          <cell r="H350">
            <v>0.15</v>
          </cell>
          <cell r="I350">
            <v>335.03</v>
          </cell>
          <cell r="J350">
            <v>3572.43</v>
          </cell>
          <cell r="K350">
            <v>0.22500000000000001</v>
          </cell>
          <cell r="L350">
            <v>602.96</v>
          </cell>
          <cell r="M350">
            <v>4463.8100000000004</v>
          </cell>
          <cell r="N350">
            <v>0.27500000000000002</v>
          </cell>
          <cell r="O350">
            <v>826.15</v>
          </cell>
          <cell r="P350">
            <v>4463.8100000000004</v>
          </cell>
          <cell r="Q350">
            <v>0.27500000000000002</v>
          </cell>
          <cell r="R350">
            <v>826.15</v>
          </cell>
          <cell r="S350">
            <v>4463.8100000000004</v>
          </cell>
          <cell r="T350">
            <v>0.27500000000000002</v>
          </cell>
          <cell r="U350">
            <v>826.15</v>
          </cell>
          <cell r="V350">
            <v>4463.8100000000004</v>
          </cell>
          <cell r="W350">
            <v>0.27500000000000002</v>
          </cell>
          <cell r="X350">
            <v>826.15</v>
          </cell>
          <cell r="Y350">
            <v>4463.8100000000004</v>
          </cell>
          <cell r="Z350">
            <v>0.27500000000000002</v>
          </cell>
          <cell r="AA350">
            <v>826.15</v>
          </cell>
          <cell r="AB350">
            <v>4463.8100000000004</v>
          </cell>
          <cell r="AC350">
            <v>0.27500000000000002</v>
          </cell>
          <cell r="AD350">
            <v>826.15</v>
          </cell>
          <cell r="AE350">
            <v>4463.8100000000004</v>
          </cell>
          <cell r="AF350">
            <v>0.27500000000000002</v>
          </cell>
          <cell r="AG350">
            <v>826.15</v>
          </cell>
          <cell r="AH350">
            <v>179.71</v>
          </cell>
        </row>
        <row r="351">
          <cell r="C351">
            <v>41944</v>
          </cell>
          <cell r="D351">
            <v>1787.77</v>
          </cell>
          <cell r="E351">
            <v>7.4999999999999997E-2</v>
          </cell>
          <cell r="F351">
            <v>134.08000000000001</v>
          </cell>
          <cell r="G351">
            <v>2679.29</v>
          </cell>
          <cell r="H351">
            <v>0.15</v>
          </cell>
          <cell r="I351">
            <v>335.03</v>
          </cell>
          <cell r="J351">
            <v>3572.43</v>
          </cell>
          <cell r="K351">
            <v>0.22500000000000001</v>
          </cell>
          <cell r="L351">
            <v>602.96</v>
          </cell>
          <cell r="M351">
            <v>4463.8100000000004</v>
          </cell>
          <cell r="N351">
            <v>0.27500000000000002</v>
          </cell>
          <cell r="O351">
            <v>826.15</v>
          </cell>
          <cell r="P351">
            <v>4463.8100000000004</v>
          </cell>
          <cell r="Q351">
            <v>0.27500000000000002</v>
          </cell>
          <cell r="R351">
            <v>826.15</v>
          </cell>
          <cell r="S351">
            <v>4463.8100000000004</v>
          </cell>
          <cell r="T351">
            <v>0.27500000000000002</v>
          </cell>
          <cell r="U351">
            <v>826.15</v>
          </cell>
          <cell r="V351">
            <v>4463.8100000000004</v>
          </cell>
          <cell r="W351">
            <v>0.27500000000000002</v>
          </cell>
          <cell r="X351">
            <v>826.15</v>
          </cell>
          <cell r="Y351">
            <v>4463.8100000000004</v>
          </cell>
          <cell r="Z351">
            <v>0.27500000000000002</v>
          </cell>
          <cell r="AA351">
            <v>826.15</v>
          </cell>
          <cell r="AB351">
            <v>4463.8100000000004</v>
          </cell>
          <cell r="AC351">
            <v>0.27500000000000002</v>
          </cell>
          <cell r="AD351">
            <v>826.15</v>
          </cell>
          <cell r="AE351">
            <v>4463.8100000000004</v>
          </cell>
          <cell r="AF351">
            <v>0.27500000000000002</v>
          </cell>
          <cell r="AG351">
            <v>826.15</v>
          </cell>
          <cell r="AH351">
            <v>179.71</v>
          </cell>
        </row>
        <row r="352">
          <cell r="C352">
            <v>41974</v>
          </cell>
          <cell r="D352">
            <v>1787.77</v>
          </cell>
          <cell r="E352">
            <v>7.4999999999999997E-2</v>
          </cell>
          <cell r="F352">
            <v>134.08000000000001</v>
          </cell>
          <cell r="G352">
            <v>2679.29</v>
          </cell>
          <cell r="H352">
            <v>0.15</v>
          </cell>
          <cell r="I352">
            <v>335.03</v>
          </cell>
          <cell r="J352">
            <v>3572.43</v>
          </cell>
          <cell r="K352">
            <v>0.22500000000000001</v>
          </cell>
          <cell r="L352">
            <v>602.96</v>
          </cell>
          <cell r="M352">
            <v>4463.8100000000004</v>
          </cell>
          <cell r="N352">
            <v>0.27500000000000002</v>
          </cell>
          <cell r="O352">
            <v>826.15</v>
          </cell>
          <cell r="P352">
            <v>4463.8100000000004</v>
          </cell>
          <cell r="Q352">
            <v>0.27500000000000002</v>
          </cell>
          <cell r="R352">
            <v>826.15</v>
          </cell>
          <cell r="S352">
            <v>4463.8100000000004</v>
          </cell>
          <cell r="T352">
            <v>0.27500000000000002</v>
          </cell>
          <cell r="U352">
            <v>826.15</v>
          </cell>
          <cell r="V352">
            <v>4463.8100000000004</v>
          </cell>
          <cell r="W352">
            <v>0.27500000000000002</v>
          </cell>
          <cell r="X352">
            <v>826.15</v>
          </cell>
          <cell r="Y352">
            <v>4463.8100000000004</v>
          </cell>
          <cell r="Z352">
            <v>0.27500000000000002</v>
          </cell>
          <cell r="AA352">
            <v>826.15</v>
          </cell>
          <cell r="AB352">
            <v>4463.8100000000004</v>
          </cell>
          <cell r="AC352">
            <v>0.27500000000000002</v>
          </cell>
          <cell r="AD352">
            <v>826.15</v>
          </cell>
          <cell r="AE352">
            <v>4463.8100000000004</v>
          </cell>
          <cell r="AF352">
            <v>0.27500000000000002</v>
          </cell>
          <cell r="AG352">
            <v>826.15</v>
          </cell>
          <cell r="AH352">
            <v>179.71</v>
          </cell>
        </row>
        <row r="353">
          <cell r="C353">
            <v>42005</v>
          </cell>
          <cell r="D353">
            <v>1868.22</v>
          </cell>
          <cell r="E353">
            <v>7.4999999999999997E-2</v>
          </cell>
          <cell r="F353">
            <v>140.12</v>
          </cell>
          <cell r="G353">
            <v>2799.87</v>
          </cell>
          <cell r="H353">
            <v>0.15</v>
          </cell>
          <cell r="I353">
            <v>350.11</v>
          </cell>
          <cell r="J353">
            <v>3733.19</v>
          </cell>
          <cell r="K353">
            <v>0.22500000000000001</v>
          </cell>
          <cell r="L353">
            <v>630.1</v>
          </cell>
          <cell r="M353">
            <v>4664.68</v>
          </cell>
          <cell r="N353">
            <v>0.27500000000000002</v>
          </cell>
          <cell r="O353">
            <v>863.33</v>
          </cell>
          <cell r="P353">
            <v>4664.68</v>
          </cell>
          <cell r="Q353">
            <v>0.27500000000000002</v>
          </cell>
          <cell r="R353">
            <v>863.33</v>
          </cell>
          <cell r="S353">
            <v>4664.68</v>
          </cell>
          <cell r="T353">
            <v>0.27500000000000002</v>
          </cell>
          <cell r="U353">
            <v>863.33</v>
          </cell>
          <cell r="V353">
            <v>4664.68</v>
          </cell>
          <cell r="W353">
            <v>0.27500000000000002</v>
          </cell>
          <cell r="X353">
            <v>863.33</v>
          </cell>
          <cell r="Y353">
            <v>4664.68</v>
          </cell>
          <cell r="Z353">
            <v>0.27500000000000002</v>
          </cell>
          <cell r="AA353">
            <v>863.33</v>
          </cell>
          <cell r="AB353">
            <v>4664.68</v>
          </cell>
          <cell r="AC353">
            <v>0.27500000000000002</v>
          </cell>
          <cell r="AD353">
            <v>863.33</v>
          </cell>
          <cell r="AE353">
            <v>4664.68</v>
          </cell>
          <cell r="AF353">
            <v>0.27500000000000002</v>
          </cell>
          <cell r="AG353">
            <v>863.33</v>
          </cell>
          <cell r="AH353">
            <v>187.8</v>
          </cell>
        </row>
        <row r="354">
          <cell r="C354">
            <v>42036</v>
          </cell>
          <cell r="D354">
            <v>1868.22</v>
          </cell>
          <cell r="E354">
            <v>7.4999999999999997E-2</v>
          </cell>
          <cell r="F354">
            <v>140.12</v>
          </cell>
          <cell r="G354">
            <v>2799.87</v>
          </cell>
          <cell r="H354">
            <v>0.15</v>
          </cell>
          <cell r="I354">
            <v>350.11</v>
          </cell>
          <cell r="J354">
            <v>3733.19</v>
          </cell>
          <cell r="K354">
            <v>0.22500000000000001</v>
          </cell>
          <cell r="L354">
            <v>630.1</v>
          </cell>
          <cell r="M354">
            <v>4664.68</v>
          </cell>
          <cell r="N354">
            <v>0.27500000000000002</v>
          </cell>
          <cell r="O354">
            <v>863.33</v>
          </cell>
          <cell r="P354">
            <v>4664.68</v>
          </cell>
          <cell r="Q354">
            <v>0.27500000000000002</v>
          </cell>
          <cell r="R354">
            <v>863.33</v>
          </cell>
          <cell r="S354">
            <v>4664.68</v>
          </cell>
          <cell r="T354">
            <v>0.27500000000000002</v>
          </cell>
          <cell r="U354">
            <v>863.33</v>
          </cell>
          <cell r="V354">
            <v>4664.68</v>
          </cell>
          <cell r="W354">
            <v>0.27500000000000002</v>
          </cell>
          <cell r="X354">
            <v>863.33</v>
          </cell>
          <cell r="Y354">
            <v>4664.68</v>
          </cell>
          <cell r="Z354">
            <v>0.27500000000000002</v>
          </cell>
          <cell r="AA354">
            <v>863.33</v>
          </cell>
          <cell r="AB354">
            <v>4664.68</v>
          </cell>
          <cell r="AC354">
            <v>0.27500000000000002</v>
          </cell>
          <cell r="AD354">
            <v>863.33</v>
          </cell>
          <cell r="AE354">
            <v>4664.68</v>
          </cell>
          <cell r="AF354">
            <v>0.27500000000000002</v>
          </cell>
          <cell r="AG354">
            <v>863.33</v>
          </cell>
          <cell r="AH354">
            <v>187.8</v>
          </cell>
        </row>
        <row r="355">
          <cell r="C355">
            <v>42064</v>
          </cell>
          <cell r="D355">
            <v>1868.22</v>
          </cell>
          <cell r="E355">
            <v>7.4999999999999997E-2</v>
          </cell>
          <cell r="F355">
            <v>140.12</v>
          </cell>
          <cell r="G355">
            <v>2799.87</v>
          </cell>
          <cell r="H355">
            <v>0.15</v>
          </cell>
          <cell r="I355">
            <v>350.11</v>
          </cell>
          <cell r="J355">
            <v>3733.19</v>
          </cell>
          <cell r="K355">
            <v>0.22500000000000001</v>
          </cell>
          <cell r="L355">
            <v>630.1</v>
          </cell>
          <cell r="M355">
            <v>4664.68</v>
          </cell>
          <cell r="N355">
            <v>0.27500000000000002</v>
          </cell>
          <cell r="O355">
            <v>863.33</v>
          </cell>
          <cell r="P355">
            <v>4664.68</v>
          </cell>
          <cell r="Q355">
            <v>0.27500000000000002</v>
          </cell>
          <cell r="R355">
            <v>863.33</v>
          </cell>
          <cell r="S355">
            <v>4664.68</v>
          </cell>
          <cell r="T355">
            <v>0.27500000000000002</v>
          </cell>
          <cell r="U355">
            <v>863.33</v>
          </cell>
          <cell r="V355">
            <v>4664.68</v>
          </cell>
          <cell r="W355">
            <v>0.27500000000000002</v>
          </cell>
          <cell r="X355">
            <v>863.33</v>
          </cell>
          <cell r="Y355">
            <v>4664.68</v>
          </cell>
          <cell r="Z355">
            <v>0.27500000000000002</v>
          </cell>
          <cell r="AA355">
            <v>863.33</v>
          </cell>
          <cell r="AB355">
            <v>4664.68</v>
          </cell>
          <cell r="AC355">
            <v>0.27500000000000002</v>
          </cell>
          <cell r="AD355">
            <v>863.33</v>
          </cell>
          <cell r="AE355">
            <v>4664.68</v>
          </cell>
          <cell r="AF355">
            <v>0.27500000000000002</v>
          </cell>
          <cell r="AG355">
            <v>863.33</v>
          </cell>
          <cell r="AH355">
            <v>187.8</v>
          </cell>
        </row>
        <row r="356">
          <cell r="C356">
            <v>42095</v>
          </cell>
          <cell r="D356">
            <v>1868.22</v>
          </cell>
          <cell r="E356">
            <v>7.4999999999999997E-2</v>
          </cell>
          <cell r="F356">
            <v>140.12</v>
          </cell>
          <cell r="G356">
            <v>2799.87</v>
          </cell>
          <cell r="H356">
            <v>0.15</v>
          </cell>
          <cell r="I356">
            <v>350.11</v>
          </cell>
          <cell r="J356">
            <v>3733.19</v>
          </cell>
          <cell r="K356">
            <v>0.22500000000000001</v>
          </cell>
          <cell r="L356">
            <v>630.1</v>
          </cell>
          <cell r="M356">
            <v>4664.68</v>
          </cell>
          <cell r="N356">
            <v>0.27500000000000002</v>
          </cell>
          <cell r="O356">
            <v>863.33</v>
          </cell>
          <cell r="P356">
            <v>4664.68</v>
          </cell>
          <cell r="Q356">
            <v>0.27500000000000002</v>
          </cell>
          <cell r="R356">
            <v>863.33</v>
          </cell>
          <cell r="S356">
            <v>4664.68</v>
          </cell>
          <cell r="T356">
            <v>0.27500000000000002</v>
          </cell>
          <cell r="U356">
            <v>863.33</v>
          </cell>
          <cell r="V356">
            <v>4664.68</v>
          </cell>
          <cell r="W356">
            <v>0.27500000000000002</v>
          </cell>
          <cell r="X356">
            <v>863.33</v>
          </cell>
          <cell r="Y356">
            <v>4664.68</v>
          </cell>
          <cell r="Z356">
            <v>0.27500000000000002</v>
          </cell>
          <cell r="AA356">
            <v>863.33</v>
          </cell>
          <cell r="AB356">
            <v>4664.68</v>
          </cell>
          <cell r="AC356">
            <v>0.27500000000000002</v>
          </cell>
          <cell r="AD356">
            <v>863.33</v>
          </cell>
          <cell r="AE356">
            <v>4664.68</v>
          </cell>
          <cell r="AF356">
            <v>0.27500000000000002</v>
          </cell>
          <cell r="AG356">
            <v>863.33</v>
          </cell>
          <cell r="AH356">
            <v>187.8</v>
          </cell>
        </row>
        <row r="357">
          <cell r="C357">
            <v>42125</v>
          </cell>
          <cell r="D357">
            <v>1868.22</v>
          </cell>
          <cell r="E357">
            <v>7.4999999999999997E-2</v>
          </cell>
          <cell r="F357">
            <v>140.12</v>
          </cell>
          <cell r="G357">
            <v>2799.87</v>
          </cell>
          <cell r="H357">
            <v>0.15</v>
          </cell>
          <cell r="I357">
            <v>350.11</v>
          </cell>
          <cell r="J357">
            <v>3733.19</v>
          </cell>
          <cell r="K357">
            <v>0.22500000000000001</v>
          </cell>
          <cell r="L357">
            <v>630.1</v>
          </cell>
          <cell r="M357">
            <v>4664.68</v>
          </cell>
          <cell r="N357">
            <v>0.27500000000000002</v>
          </cell>
          <cell r="O357">
            <v>863.33</v>
          </cell>
          <cell r="P357">
            <v>4664.68</v>
          </cell>
          <cell r="Q357">
            <v>0.27500000000000002</v>
          </cell>
          <cell r="R357">
            <v>863.33</v>
          </cell>
          <cell r="S357">
            <v>4664.68</v>
          </cell>
          <cell r="T357">
            <v>0.27500000000000002</v>
          </cell>
          <cell r="U357">
            <v>863.33</v>
          </cell>
          <cell r="V357">
            <v>4664.68</v>
          </cell>
          <cell r="W357">
            <v>0.27500000000000002</v>
          </cell>
          <cell r="X357">
            <v>863.33</v>
          </cell>
          <cell r="Y357">
            <v>4664.68</v>
          </cell>
          <cell r="Z357">
            <v>0.27500000000000002</v>
          </cell>
          <cell r="AA357">
            <v>863.33</v>
          </cell>
          <cell r="AB357">
            <v>4664.68</v>
          </cell>
          <cell r="AC357">
            <v>0.27500000000000002</v>
          </cell>
          <cell r="AD357">
            <v>863.33</v>
          </cell>
          <cell r="AE357">
            <v>4664.68</v>
          </cell>
          <cell r="AF357">
            <v>0.27500000000000002</v>
          </cell>
          <cell r="AG357">
            <v>863.33</v>
          </cell>
          <cell r="AH357">
            <v>187.8</v>
          </cell>
        </row>
        <row r="358">
          <cell r="C358">
            <v>42156</v>
          </cell>
          <cell r="D358">
            <v>1868.22</v>
          </cell>
          <cell r="E358">
            <v>7.4999999999999997E-2</v>
          </cell>
          <cell r="F358">
            <v>140.12</v>
          </cell>
          <cell r="G358">
            <v>2799.87</v>
          </cell>
          <cell r="H358">
            <v>0.15</v>
          </cell>
          <cell r="I358">
            <v>350.11</v>
          </cell>
          <cell r="J358">
            <v>3733.19</v>
          </cell>
          <cell r="K358">
            <v>0.22500000000000001</v>
          </cell>
          <cell r="L358">
            <v>630.1</v>
          </cell>
          <cell r="M358">
            <v>4664.68</v>
          </cell>
          <cell r="N358">
            <v>0.27500000000000002</v>
          </cell>
          <cell r="O358">
            <v>863.33</v>
          </cell>
          <cell r="P358">
            <v>4664.68</v>
          </cell>
          <cell r="Q358">
            <v>0.27500000000000002</v>
          </cell>
          <cell r="R358">
            <v>863.33</v>
          </cell>
          <cell r="S358">
            <v>4664.68</v>
          </cell>
          <cell r="T358">
            <v>0.27500000000000002</v>
          </cell>
          <cell r="U358">
            <v>863.33</v>
          </cell>
          <cell r="V358">
            <v>4664.68</v>
          </cell>
          <cell r="W358">
            <v>0.27500000000000002</v>
          </cell>
          <cell r="X358">
            <v>863.33</v>
          </cell>
          <cell r="Y358">
            <v>4664.68</v>
          </cell>
          <cell r="Z358">
            <v>0.27500000000000002</v>
          </cell>
          <cell r="AA358">
            <v>863.33</v>
          </cell>
          <cell r="AB358">
            <v>4664.68</v>
          </cell>
          <cell r="AC358">
            <v>0.27500000000000002</v>
          </cell>
          <cell r="AD358">
            <v>863.33</v>
          </cell>
          <cell r="AE358">
            <v>4664.68</v>
          </cell>
          <cell r="AF358">
            <v>0.27500000000000002</v>
          </cell>
          <cell r="AG358">
            <v>863.33</v>
          </cell>
          <cell r="AH358">
            <v>187.8</v>
          </cell>
        </row>
        <row r="359">
          <cell r="C359">
            <v>42186</v>
          </cell>
          <cell r="D359">
            <v>1868.22</v>
          </cell>
          <cell r="E359">
            <v>7.4999999999999997E-2</v>
          </cell>
          <cell r="F359">
            <v>140.12</v>
          </cell>
          <cell r="G359">
            <v>2799.87</v>
          </cell>
          <cell r="H359">
            <v>0.15</v>
          </cell>
          <cell r="I359">
            <v>350.11</v>
          </cell>
          <cell r="J359">
            <v>3733.19</v>
          </cell>
          <cell r="K359">
            <v>0.22500000000000001</v>
          </cell>
          <cell r="L359">
            <v>630.1</v>
          </cell>
          <cell r="M359">
            <v>4664.68</v>
          </cell>
          <cell r="N359">
            <v>0.27500000000000002</v>
          </cell>
          <cell r="O359">
            <v>863.33</v>
          </cell>
          <cell r="P359">
            <v>4664.68</v>
          </cell>
          <cell r="Q359">
            <v>0.27500000000000002</v>
          </cell>
          <cell r="R359">
            <v>863.33</v>
          </cell>
          <cell r="S359">
            <v>4664.68</v>
          </cell>
          <cell r="T359">
            <v>0.27500000000000002</v>
          </cell>
          <cell r="U359">
            <v>863.33</v>
          </cell>
          <cell r="V359">
            <v>4664.68</v>
          </cell>
          <cell r="W359">
            <v>0.27500000000000002</v>
          </cell>
          <cell r="X359">
            <v>863.33</v>
          </cell>
          <cell r="Y359">
            <v>4664.68</v>
          </cell>
          <cell r="Z359">
            <v>0.27500000000000002</v>
          </cell>
          <cell r="AA359">
            <v>863.33</v>
          </cell>
          <cell r="AB359">
            <v>4664.68</v>
          </cell>
          <cell r="AC359">
            <v>0.27500000000000002</v>
          </cell>
          <cell r="AD359">
            <v>863.33</v>
          </cell>
          <cell r="AE359">
            <v>4664.68</v>
          </cell>
          <cell r="AF359">
            <v>0.27500000000000002</v>
          </cell>
          <cell r="AG359">
            <v>863.33</v>
          </cell>
          <cell r="AH359">
            <v>187.8</v>
          </cell>
        </row>
        <row r="360">
          <cell r="C360">
            <v>42217</v>
          </cell>
          <cell r="D360">
            <v>1868.22</v>
          </cell>
          <cell r="E360">
            <v>7.4999999999999997E-2</v>
          </cell>
          <cell r="F360">
            <v>140.12</v>
          </cell>
          <cell r="G360">
            <v>2799.87</v>
          </cell>
          <cell r="H360">
            <v>0.15</v>
          </cell>
          <cell r="I360">
            <v>350.11</v>
          </cell>
          <cell r="J360">
            <v>3733.19</v>
          </cell>
          <cell r="K360">
            <v>0.22500000000000001</v>
          </cell>
          <cell r="L360">
            <v>630.1</v>
          </cell>
          <cell r="M360">
            <v>4664.68</v>
          </cell>
          <cell r="N360">
            <v>0.27500000000000002</v>
          </cell>
          <cell r="O360">
            <v>863.33</v>
          </cell>
          <cell r="P360">
            <v>4664.68</v>
          </cell>
          <cell r="Q360">
            <v>0.27500000000000002</v>
          </cell>
          <cell r="R360">
            <v>863.33</v>
          </cell>
          <cell r="S360">
            <v>4664.68</v>
          </cell>
          <cell r="T360">
            <v>0.27500000000000002</v>
          </cell>
          <cell r="U360">
            <v>863.33</v>
          </cell>
          <cell r="V360">
            <v>4664.68</v>
          </cell>
          <cell r="W360">
            <v>0.27500000000000002</v>
          </cell>
          <cell r="X360">
            <v>863.33</v>
          </cell>
          <cell r="Y360">
            <v>4664.68</v>
          </cell>
          <cell r="Z360">
            <v>0.27500000000000002</v>
          </cell>
          <cell r="AA360">
            <v>863.33</v>
          </cell>
          <cell r="AB360">
            <v>4664.68</v>
          </cell>
          <cell r="AC360">
            <v>0.27500000000000002</v>
          </cell>
          <cell r="AD360">
            <v>863.33</v>
          </cell>
          <cell r="AE360">
            <v>4664.68</v>
          </cell>
          <cell r="AF360">
            <v>0.27500000000000002</v>
          </cell>
          <cell r="AG360">
            <v>863.33</v>
          </cell>
          <cell r="AH360">
            <v>187.8</v>
          </cell>
        </row>
        <row r="361">
          <cell r="C361">
            <v>42248</v>
          </cell>
          <cell r="D361">
            <v>1868.22</v>
          </cell>
          <cell r="E361">
            <v>7.4999999999999997E-2</v>
          </cell>
          <cell r="F361">
            <v>140.12</v>
          </cell>
          <cell r="G361">
            <v>2799.87</v>
          </cell>
          <cell r="H361">
            <v>0.15</v>
          </cell>
          <cell r="I361">
            <v>350.11</v>
          </cell>
          <cell r="J361">
            <v>3733.19</v>
          </cell>
          <cell r="K361">
            <v>0.22500000000000001</v>
          </cell>
          <cell r="L361">
            <v>630.1</v>
          </cell>
          <cell r="M361">
            <v>4664.68</v>
          </cell>
          <cell r="N361">
            <v>0.27500000000000002</v>
          </cell>
          <cell r="O361">
            <v>863.33</v>
          </cell>
          <cell r="P361">
            <v>4664.68</v>
          </cell>
          <cell r="Q361">
            <v>0.27500000000000002</v>
          </cell>
          <cell r="R361">
            <v>863.33</v>
          </cell>
          <cell r="S361">
            <v>4664.68</v>
          </cell>
          <cell r="T361">
            <v>0.27500000000000002</v>
          </cell>
          <cell r="U361">
            <v>863.33</v>
          </cell>
          <cell r="V361">
            <v>4664.68</v>
          </cell>
          <cell r="W361">
            <v>0.27500000000000002</v>
          </cell>
          <cell r="X361">
            <v>863.33</v>
          </cell>
          <cell r="Y361">
            <v>4664.68</v>
          </cell>
          <cell r="Z361">
            <v>0.27500000000000002</v>
          </cell>
          <cell r="AA361">
            <v>863.33</v>
          </cell>
          <cell r="AB361">
            <v>4664.68</v>
          </cell>
          <cell r="AC361">
            <v>0.27500000000000002</v>
          </cell>
          <cell r="AD361">
            <v>863.33</v>
          </cell>
          <cell r="AE361">
            <v>4664.68</v>
          </cell>
          <cell r="AF361">
            <v>0.27500000000000002</v>
          </cell>
          <cell r="AG361">
            <v>863.33</v>
          </cell>
          <cell r="AH361">
            <v>187.8</v>
          </cell>
        </row>
        <row r="362">
          <cell r="C362">
            <v>42278</v>
          </cell>
          <cell r="D362">
            <v>1868.22</v>
          </cell>
          <cell r="E362">
            <v>7.4999999999999997E-2</v>
          </cell>
          <cell r="F362">
            <v>140.12</v>
          </cell>
          <cell r="G362">
            <v>2799.87</v>
          </cell>
          <cell r="H362">
            <v>0.15</v>
          </cell>
          <cell r="I362">
            <v>350.11</v>
          </cell>
          <cell r="J362">
            <v>3733.19</v>
          </cell>
          <cell r="K362">
            <v>0.22500000000000001</v>
          </cell>
          <cell r="L362">
            <v>630.1</v>
          </cell>
          <cell r="M362">
            <v>4664.68</v>
          </cell>
          <cell r="N362">
            <v>0.27500000000000002</v>
          </cell>
          <cell r="O362">
            <v>863.33</v>
          </cell>
          <cell r="P362">
            <v>4664.68</v>
          </cell>
          <cell r="Q362">
            <v>0.27500000000000002</v>
          </cell>
          <cell r="R362">
            <v>863.33</v>
          </cell>
          <cell r="S362">
            <v>4664.68</v>
          </cell>
          <cell r="T362">
            <v>0.27500000000000002</v>
          </cell>
          <cell r="U362">
            <v>863.33</v>
          </cell>
          <cell r="V362">
            <v>4664.68</v>
          </cell>
          <cell r="W362">
            <v>0.27500000000000002</v>
          </cell>
          <cell r="X362">
            <v>863.33</v>
          </cell>
          <cell r="Y362">
            <v>4664.68</v>
          </cell>
          <cell r="Z362">
            <v>0.27500000000000002</v>
          </cell>
          <cell r="AA362">
            <v>863.33</v>
          </cell>
          <cell r="AB362">
            <v>4664.68</v>
          </cell>
          <cell r="AC362">
            <v>0.27500000000000002</v>
          </cell>
          <cell r="AD362">
            <v>863.33</v>
          </cell>
          <cell r="AE362">
            <v>4664.68</v>
          </cell>
          <cell r="AF362">
            <v>0.27500000000000002</v>
          </cell>
          <cell r="AG362">
            <v>863.33</v>
          </cell>
          <cell r="AH362">
            <v>187.8</v>
          </cell>
        </row>
        <row r="363">
          <cell r="C363">
            <v>42309</v>
          </cell>
          <cell r="D363">
            <v>1868.22</v>
          </cell>
          <cell r="E363">
            <v>7.4999999999999997E-2</v>
          </cell>
          <cell r="F363">
            <v>140.12</v>
          </cell>
          <cell r="G363">
            <v>2799.87</v>
          </cell>
          <cell r="H363">
            <v>0.15</v>
          </cell>
          <cell r="I363">
            <v>350.11</v>
          </cell>
          <cell r="J363">
            <v>3733.19</v>
          </cell>
          <cell r="K363">
            <v>0.22500000000000001</v>
          </cell>
          <cell r="L363">
            <v>630.1</v>
          </cell>
          <cell r="M363">
            <v>4664.68</v>
          </cell>
          <cell r="N363">
            <v>0.27500000000000002</v>
          </cell>
          <cell r="O363">
            <v>863.33</v>
          </cell>
          <cell r="P363">
            <v>4664.68</v>
          </cell>
          <cell r="Q363">
            <v>0.27500000000000002</v>
          </cell>
          <cell r="R363">
            <v>863.33</v>
          </cell>
          <cell r="S363">
            <v>4664.68</v>
          </cell>
          <cell r="T363">
            <v>0.27500000000000002</v>
          </cell>
          <cell r="U363">
            <v>863.33</v>
          </cell>
          <cell r="V363">
            <v>4664.68</v>
          </cell>
          <cell r="W363">
            <v>0.27500000000000002</v>
          </cell>
          <cell r="X363">
            <v>863.33</v>
          </cell>
          <cell r="Y363">
            <v>4664.68</v>
          </cell>
          <cell r="Z363">
            <v>0.27500000000000002</v>
          </cell>
          <cell r="AA363">
            <v>863.33</v>
          </cell>
          <cell r="AB363">
            <v>4664.68</v>
          </cell>
          <cell r="AC363">
            <v>0.27500000000000002</v>
          </cell>
          <cell r="AD363">
            <v>863.33</v>
          </cell>
          <cell r="AE363">
            <v>4664.68</v>
          </cell>
          <cell r="AF363">
            <v>0.27500000000000002</v>
          </cell>
          <cell r="AG363">
            <v>863.33</v>
          </cell>
          <cell r="AH363">
            <v>187.8</v>
          </cell>
        </row>
        <row r="364">
          <cell r="C364">
            <v>42339</v>
          </cell>
          <cell r="D364">
            <v>1868.22</v>
          </cell>
          <cell r="E364">
            <v>7.4999999999999997E-2</v>
          </cell>
          <cell r="F364">
            <v>140.12</v>
          </cell>
          <cell r="G364">
            <v>2799.87</v>
          </cell>
          <cell r="H364">
            <v>0.15</v>
          </cell>
          <cell r="I364">
            <v>350.11</v>
          </cell>
          <cell r="J364">
            <v>3733.19</v>
          </cell>
          <cell r="K364">
            <v>0.22500000000000001</v>
          </cell>
          <cell r="L364">
            <v>630.1</v>
          </cell>
          <cell r="M364">
            <v>4664.68</v>
          </cell>
          <cell r="N364">
            <v>0.27500000000000002</v>
          </cell>
          <cell r="O364">
            <v>863.33</v>
          </cell>
          <cell r="P364">
            <v>4664.68</v>
          </cell>
          <cell r="Q364">
            <v>0.27500000000000002</v>
          </cell>
          <cell r="R364">
            <v>863.33</v>
          </cell>
          <cell r="S364">
            <v>4664.68</v>
          </cell>
          <cell r="T364">
            <v>0.27500000000000002</v>
          </cell>
          <cell r="U364">
            <v>863.33</v>
          </cell>
          <cell r="V364">
            <v>4664.68</v>
          </cell>
          <cell r="W364">
            <v>0.27500000000000002</v>
          </cell>
          <cell r="X364">
            <v>863.33</v>
          </cell>
          <cell r="Y364">
            <v>4664.68</v>
          </cell>
          <cell r="Z364">
            <v>0.27500000000000002</v>
          </cell>
          <cell r="AA364">
            <v>863.33</v>
          </cell>
          <cell r="AB364">
            <v>4664.68</v>
          </cell>
          <cell r="AC364">
            <v>0.27500000000000002</v>
          </cell>
          <cell r="AD364">
            <v>863.33</v>
          </cell>
          <cell r="AE364">
            <v>4664.68</v>
          </cell>
          <cell r="AF364">
            <v>0.27500000000000002</v>
          </cell>
          <cell r="AG364">
            <v>863.33</v>
          </cell>
          <cell r="AH364">
            <v>187.8</v>
          </cell>
        </row>
        <row r="365">
          <cell r="C365">
            <v>42370</v>
          </cell>
          <cell r="E365">
            <v>7.4999999999999997E-2</v>
          </cell>
          <cell r="H365">
            <v>0.15</v>
          </cell>
          <cell r="K365">
            <v>0.22500000000000001</v>
          </cell>
          <cell r="N365">
            <v>0.27500000000000002</v>
          </cell>
          <cell r="Q365">
            <v>0.27500000000000002</v>
          </cell>
          <cell r="T365">
            <v>0.27500000000000002</v>
          </cell>
          <cell r="W365">
            <v>0.27500000000000002</v>
          </cell>
          <cell r="Z365">
            <v>0.27500000000000002</v>
          </cell>
          <cell r="AC365">
            <v>0.27500000000000002</v>
          </cell>
          <cell r="AF365">
            <v>0.27500000000000002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1A0000" mc:Ignorable="a14" a14:legacySpreadsheetColorIndex="26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08"/>
  <sheetViews>
    <sheetView workbookViewId="0">
      <selection activeCell="A3" sqref="A3:G3"/>
    </sheetView>
  </sheetViews>
  <sheetFormatPr defaultColWidth="9.109375" defaultRowHeight="13.2" x14ac:dyDescent="0.25"/>
  <cols>
    <col min="1" max="1" width="30.33203125" style="1" customWidth="1"/>
    <col min="2" max="2" width="21.5546875" style="1" customWidth="1"/>
    <col min="3" max="7" width="13.88671875" style="1" customWidth="1"/>
    <col min="8" max="16384" width="9.109375" style="1"/>
  </cols>
  <sheetData>
    <row r="1" spans="1:7" ht="22.2" x14ac:dyDescent="0.35">
      <c r="A1" s="342" t="e">
        <f>#REF!</f>
        <v>#REF!</v>
      </c>
      <c r="B1" s="343"/>
      <c r="C1" s="343"/>
      <c r="D1" s="343"/>
      <c r="E1" s="343"/>
      <c r="F1" s="343"/>
      <c r="G1" s="344"/>
    </row>
    <row r="2" spans="1:7" ht="11.25" customHeight="1" x14ac:dyDescent="0.25">
      <c r="A2" s="10"/>
      <c r="B2" s="10"/>
      <c r="C2" s="10"/>
      <c r="D2" s="10"/>
      <c r="E2" s="10"/>
      <c r="F2" s="10"/>
      <c r="G2" s="10"/>
    </row>
    <row r="3" spans="1:7" ht="17.399999999999999" x14ac:dyDescent="0.3">
      <c r="A3" s="347" t="e">
        <f>#REF!</f>
        <v>#REF!</v>
      </c>
      <c r="B3" s="348"/>
      <c r="C3" s="348"/>
      <c r="D3" s="348"/>
      <c r="E3" s="348"/>
      <c r="F3" s="348"/>
      <c r="G3" s="349"/>
    </row>
    <row r="4" spans="1:7" ht="11.25" customHeight="1" x14ac:dyDescent="0.3">
      <c r="A4" s="287"/>
      <c r="B4" s="287"/>
      <c r="C4" s="287"/>
      <c r="D4" s="287"/>
      <c r="E4" s="287"/>
      <c r="F4" s="287"/>
      <c r="G4" s="287"/>
    </row>
    <row r="5" spans="1:7" ht="17.399999999999999" x14ac:dyDescent="0.3">
      <c r="A5" s="288"/>
      <c r="B5" s="289"/>
      <c r="C5" s="289"/>
      <c r="D5" s="289"/>
      <c r="E5" s="289"/>
      <c r="F5" s="289"/>
      <c r="G5" s="290"/>
    </row>
    <row r="6" spans="1:7" ht="17.399999999999999" x14ac:dyDescent="0.3">
      <c r="A6" s="291" t="s">
        <v>77</v>
      </c>
      <c r="B6" s="292"/>
      <c r="C6" s="292"/>
      <c r="D6" s="292"/>
      <c r="E6" s="292"/>
      <c r="F6" s="292"/>
      <c r="G6" s="293"/>
    </row>
    <row r="7" spans="1:7" ht="17.399999999999999" x14ac:dyDescent="0.3">
      <c r="A7" s="294" t="s">
        <v>19</v>
      </c>
      <c r="B7" s="345" t="e">
        <f>#REF!</f>
        <v>#REF!</v>
      </c>
      <c r="C7" s="345"/>
      <c r="D7" s="345"/>
      <c r="E7" s="345"/>
      <c r="F7" s="345"/>
      <c r="G7" s="346"/>
    </row>
    <row r="8" spans="1:7" ht="17.399999999999999" x14ac:dyDescent="0.3">
      <c r="A8" s="294" t="s">
        <v>78</v>
      </c>
      <c r="B8" s="345" t="e">
        <f>#REF!</f>
        <v>#REF!</v>
      </c>
      <c r="C8" s="345"/>
      <c r="D8" s="345"/>
      <c r="E8" s="345"/>
      <c r="F8" s="345"/>
      <c r="G8" s="346"/>
    </row>
    <row r="9" spans="1:7" ht="17.399999999999999" x14ac:dyDescent="0.3">
      <c r="A9" s="295"/>
      <c r="B9" s="296"/>
      <c r="C9" s="296"/>
      <c r="D9" s="296"/>
      <c r="E9" s="296"/>
      <c r="F9" s="296"/>
      <c r="G9" s="297"/>
    </row>
    <row r="10" spans="1:7" ht="17.399999999999999" x14ac:dyDescent="0.3">
      <c r="A10" s="291" t="s">
        <v>79</v>
      </c>
      <c r="B10" s="296"/>
      <c r="C10" s="296"/>
      <c r="D10" s="296"/>
      <c r="E10" s="296"/>
      <c r="F10" s="296"/>
      <c r="G10" s="297"/>
    </row>
    <row r="11" spans="1:7" ht="17.399999999999999" x14ac:dyDescent="0.3">
      <c r="A11" s="294" t="s">
        <v>20</v>
      </c>
      <c r="B11" s="298" t="e">
        <f>DT_INICIAL</f>
        <v>#REF!</v>
      </c>
      <c r="C11" s="296"/>
      <c r="D11" s="296"/>
      <c r="E11" s="296"/>
      <c r="F11" s="296"/>
      <c r="G11" s="297"/>
    </row>
    <row r="12" spans="1:7" ht="17.399999999999999" x14ac:dyDescent="0.3">
      <c r="A12" s="294" t="s">
        <v>21</v>
      </c>
      <c r="B12" s="298" t="e">
        <f>fim</f>
        <v>#REF!</v>
      </c>
      <c r="C12" s="296"/>
      <c r="D12" s="296"/>
      <c r="E12" s="296"/>
      <c r="F12" s="296"/>
      <c r="G12" s="297"/>
    </row>
    <row r="13" spans="1:7" ht="17.399999999999999" x14ac:dyDescent="0.3">
      <c r="A13" s="295"/>
      <c r="B13" s="296"/>
      <c r="C13" s="296"/>
      <c r="D13" s="296"/>
      <c r="E13" s="296"/>
      <c r="F13" s="296"/>
      <c r="G13" s="297"/>
    </row>
    <row r="14" spans="1:7" ht="17.399999999999999" x14ac:dyDescent="0.3">
      <c r="A14" s="291" t="s">
        <v>80</v>
      </c>
      <c r="B14" s="296"/>
      <c r="C14" s="296"/>
      <c r="D14" s="296"/>
      <c r="E14" s="296"/>
      <c r="F14" s="296"/>
      <c r="G14" s="297"/>
    </row>
    <row r="15" spans="1:7" ht="17.399999999999999" x14ac:dyDescent="0.3">
      <c r="A15" s="294" t="s">
        <v>22</v>
      </c>
      <c r="B15" s="298" t="e">
        <f>ajuiz</f>
        <v>#REF!</v>
      </c>
      <c r="C15" s="296"/>
      <c r="D15" s="296"/>
      <c r="E15" s="296"/>
      <c r="F15" s="296"/>
      <c r="G15" s="297"/>
    </row>
    <row r="16" spans="1:7" ht="17.399999999999999" x14ac:dyDescent="0.3">
      <c r="A16" s="294" t="s">
        <v>141</v>
      </c>
      <c r="B16" s="298" t="e">
        <f>#REF!</f>
        <v>#REF!</v>
      </c>
      <c r="C16" s="296"/>
      <c r="D16" s="296"/>
      <c r="E16" s="296"/>
      <c r="F16" s="296"/>
      <c r="G16" s="297"/>
    </row>
    <row r="17" spans="1:7" ht="17.399999999999999" x14ac:dyDescent="0.3">
      <c r="A17" s="294" t="s">
        <v>142</v>
      </c>
      <c r="B17" s="298" t="e">
        <f>data_calc</f>
        <v>#REF!</v>
      </c>
      <c r="C17" s="296"/>
      <c r="D17" s="296"/>
      <c r="E17" s="296"/>
      <c r="F17" s="296"/>
      <c r="G17" s="297"/>
    </row>
    <row r="18" spans="1:7" ht="17.399999999999999" x14ac:dyDescent="0.3">
      <c r="A18" s="294" t="s">
        <v>150</v>
      </c>
      <c r="B18" s="298" t="e">
        <f>#REF!</f>
        <v>#REF!</v>
      </c>
      <c r="C18" s="296"/>
      <c r="D18" s="296"/>
      <c r="E18" s="296"/>
      <c r="F18" s="296"/>
      <c r="G18" s="297"/>
    </row>
    <row r="19" spans="1:7" ht="17.399999999999999" x14ac:dyDescent="0.3">
      <c r="A19" s="302"/>
      <c r="B19" s="303"/>
      <c r="C19" s="299"/>
      <c r="D19" s="299"/>
      <c r="E19" s="299"/>
      <c r="F19" s="299"/>
      <c r="G19" s="300"/>
    </row>
    <row r="21" spans="1:7" ht="24.75" customHeight="1" x14ac:dyDescent="0.25">
      <c r="A21" s="351" t="s">
        <v>138</v>
      </c>
      <c r="B21" s="352"/>
      <c r="C21" s="352"/>
      <c r="D21" s="352"/>
      <c r="E21" s="352"/>
      <c r="F21" s="352"/>
      <c r="G21" s="353"/>
    </row>
    <row r="23" spans="1:7" x14ac:dyDescent="0.25">
      <c r="A23" s="301"/>
      <c r="B23" s="161"/>
      <c r="C23" s="161"/>
      <c r="D23" s="161"/>
      <c r="E23" s="161"/>
      <c r="F23" s="161"/>
      <c r="G23" s="162"/>
    </row>
    <row r="24" spans="1:7" x14ac:dyDescent="0.25">
      <c r="A24" s="3"/>
      <c r="G24" s="7"/>
    </row>
    <row r="25" spans="1:7" x14ac:dyDescent="0.25">
      <c r="A25" s="3"/>
      <c r="G25" s="7"/>
    </row>
    <row r="26" spans="1:7" x14ac:dyDescent="0.25">
      <c r="A26" s="3"/>
      <c r="G26" s="7"/>
    </row>
    <row r="27" spans="1:7" x14ac:dyDescent="0.25">
      <c r="A27" s="3"/>
      <c r="G27" s="7"/>
    </row>
    <row r="28" spans="1:7" x14ac:dyDescent="0.25">
      <c r="A28" s="3"/>
      <c r="G28" s="7"/>
    </row>
    <row r="29" spans="1:7" x14ac:dyDescent="0.25">
      <c r="A29" s="3"/>
      <c r="G29" s="7"/>
    </row>
    <row r="30" spans="1:7" x14ac:dyDescent="0.25">
      <c r="A30" s="3"/>
      <c r="G30" s="7"/>
    </row>
    <row r="31" spans="1:7" x14ac:dyDescent="0.25">
      <c r="A31" s="3"/>
      <c r="G31" s="7"/>
    </row>
    <row r="32" spans="1:7" x14ac:dyDescent="0.25">
      <c r="A32" s="3"/>
      <c r="G32" s="7"/>
    </row>
    <row r="33" spans="1:7" x14ac:dyDescent="0.25">
      <c r="A33" s="3"/>
      <c r="G33" s="7"/>
    </row>
    <row r="34" spans="1:7" x14ac:dyDescent="0.25">
      <c r="A34" s="3"/>
      <c r="G34" s="7"/>
    </row>
    <row r="35" spans="1:7" x14ac:dyDescent="0.25">
      <c r="A35" s="3"/>
      <c r="G35" s="7"/>
    </row>
    <row r="36" spans="1:7" x14ac:dyDescent="0.25">
      <c r="A36" s="3"/>
      <c r="G36" s="7"/>
    </row>
    <row r="37" spans="1:7" x14ac:dyDescent="0.25">
      <c r="A37" s="3"/>
      <c r="G37" s="7"/>
    </row>
    <row r="38" spans="1:7" x14ac:dyDescent="0.25">
      <c r="A38" s="3"/>
      <c r="G38" s="7"/>
    </row>
    <row r="39" spans="1:7" x14ac:dyDescent="0.25">
      <c r="A39" s="3"/>
      <c r="G39" s="7"/>
    </row>
    <row r="40" spans="1:7" x14ac:dyDescent="0.25">
      <c r="A40" s="3"/>
      <c r="G40" s="7"/>
    </row>
    <row r="41" spans="1:7" x14ac:dyDescent="0.25">
      <c r="A41" s="3"/>
      <c r="G41" s="7"/>
    </row>
    <row r="42" spans="1:7" x14ac:dyDescent="0.25">
      <c r="A42" s="3"/>
      <c r="G42" s="7"/>
    </row>
    <row r="43" spans="1:7" x14ac:dyDescent="0.25">
      <c r="A43" s="3"/>
      <c r="G43" s="7"/>
    </row>
    <row r="44" spans="1:7" x14ac:dyDescent="0.25">
      <c r="A44" s="3"/>
      <c r="G44" s="7"/>
    </row>
    <row r="45" spans="1:7" x14ac:dyDescent="0.25">
      <c r="A45" s="3"/>
      <c r="G45" s="7"/>
    </row>
    <row r="46" spans="1:7" x14ac:dyDescent="0.25">
      <c r="A46" s="3"/>
      <c r="G46" s="7"/>
    </row>
    <row r="47" spans="1:7" x14ac:dyDescent="0.25">
      <c r="A47" s="3"/>
      <c r="G47" s="7"/>
    </row>
    <row r="48" spans="1:7" x14ac:dyDescent="0.25">
      <c r="A48" s="3"/>
      <c r="G48" s="7"/>
    </row>
    <row r="49" spans="1:8" x14ac:dyDescent="0.25">
      <c r="A49" s="3"/>
      <c r="G49" s="7"/>
    </row>
    <row r="50" spans="1:8" x14ac:dyDescent="0.25">
      <c r="A50" s="3"/>
      <c r="G50" s="7"/>
    </row>
    <row r="51" spans="1:8" x14ac:dyDescent="0.25">
      <c r="A51" s="3"/>
      <c r="G51" s="7"/>
    </row>
    <row r="52" spans="1:8" x14ac:dyDescent="0.25">
      <c r="A52" s="3"/>
      <c r="G52" s="7"/>
    </row>
    <row r="53" spans="1:8" x14ac:dyDescent="0.25">
      <c r="A53" s="3"/>
      <c r="G53" s="7"/>
    </row>
    <row r="54" spans="1:8" x14ac:dyDescent="0.25">
      <c r="A54" s="3"/>
      <c r="G54" s="7"/>
    </row>
    <row r="55" spans="1:8" x14ac:dyDescent="0.25">
      <c r="A55" s="3"/>
      <c r="G55" s="7"/>
    </row>
    <row r="56" spans="1:8" x14ac:dyDescent="0.25">
      <c r="A56" s="3"/>
      <c r="G56" s="7"/>
    </row>
    <row r="57" spans="1:8" x14ac:dyDescent="0.25">
      <c r="A57" s="3"/>
      <c r="G57" s="7"/>
    </row>
    <row r="58" spans="1:8" x14ac:dyDescent="0.25">
      <c r="A58" s="3"/>
      <c r="G58" s="7"/>
    </row>
    <row r="59" spans="1:8" x14ac:dyDescent="0.25">
      <c r="A59" s="3"/>
      <c r="G59" s="7"/>
    </row>
    <row r="60" spans="1:8" x14ac:dyDescent="0.25">
      <c r="A60" s="3"/>
      <c r="G60" s="7"/>
    </row>
    <row r="61" spans="1:8" x14ac:dyDescent="0.25">
      <c r="A61" s="3"/>
      <c r="G61" s="7"/>
    </row>
    <row r="62" spans="1:8" x14ac:dyDescent="0.25">
      <c r="A62" s="3"/>
      <c r="G62" s="7"/>
    </row>
    <row r="63" spans="1:8" x14ac:dyDescent="0.25">
      <c r="A63" s="3"/>
      <c r="G63" s="7"/>
      <c r="H63" s="3"/>
    </row>
    <row r="64" spans="1:8" x14ac:dyDescent="0.25">
      <c r="A64" s="3"/>
      <c r="G64" s="7"/>
      <c r="H64" s="3"/>
    </row>
    <row r="65" spans="1:8" x14ac:dyDescent="0.25">
      <c r="A65" s="4"/>
      <c r="B65" s="2"/>
      <c r="C65" s="2"/>
      <c r="D65" s="2"/>
      <c r="E65" s="2"/>
      <c r="F65" s="2"/>
      <c r="G65" s="8"/>
      <c r="H65" s="3"/>
    </row>
    <row r="66" spans="1:8" x14ac:dyDescent="0.25">
      <c r="A66" s="161"/>
      <c r="B66" s="161"/>
      <c r="C66" s="161"/>
      <c r="D66" s="161"/>
      <c r="E66" s="161"/>
      <c r="F66" s="161"/>
      <c r="G66" s="161"/>
    </row>
    <row r="67" spans="1:8" ht="24.75" customHeight="1" x14ac:dyDescent="0.25">
      <c r="A67" s="351" t="s">
        <v>138</v>
      </c>
      <c r="B67" s="352"/>
      <c r="C67" s="352"/>
      <c r="D67" s="352"/>
      <c r="E67" s="352"/>
      <c r="F67" s="352"/>
      <c r="G67" s="353"/>
    </row>
    <row r="69" spans="1:8" x14ac:dyDescent="0.25">
      <c r="A69" s="301"/>
      <c r="B69" s="161"/>
      <c r="C69" s="161"/>
      <c r="D69" s="161"/>
      <c r="E69" s="161"/>
      <c r="F69" s="161"/>
      <c r="G69" s="162"/>
    </row>
    <row r="70" spans="1:8" x14ac:dyDescent="0.25">
      <c r="A70" s="3"/>
      <c r="G70" s="7"/>
    </row>
    <row r="71" spans="1:8" x14ac:dyDescent="0.25">
      <c r="A71" s="3"/>
      <c r="G71" s="7"/>
    </row>
    <row r="72" spans="1:8" x14ac:dyDescent="0.25">
      <c r="A72" s="3"/>
      <c r="G72" s="7"/>
    </row>
    <row r="73" spans="1:8" x14ac:dyDescent="0.25">
      <c r="A73" s="3"/>
      <c r="G73" s="7"/>
    </row>
    <row r="74" spans="1:8" x14ac:dyDescent="0.25">
      <c r="A74" s="3"/>
      <c r="G74" s="7"/>
    </row>
    <row r="75" spans="1:8" x14ac:dyDescent="0.25">
      <c r="A75" s="3"/>
      <c r="G75" s="7"/>
    </row>
    <row r="76" spans="1:8" x14ac:dyDescent="0.25">
      <c r="A76" s="3"/>
      <c r="G76" s="7"/>
    </row>
    <row r="77" spans="1:8" x14ac:dyDescent="0.25">
      <c r="A77" s="3"/>
      <c r="G77" s="7"/>
    </row>
    <row r="78" spans="1:8" x14ac:dyDescent="0.25">
      <c r="A78" s="3"/>
      <c r="G78" s="7"/>
    </row>
    <row r="79" spans="1:8" x14ac:dyDescent="0.25">
      <c r="A79" s="3"/>
      <c r="G79" s="7"/>
    </row>
    <row r="80" spans="1:8" x14ac:dyDescent="0.25">
      <c r="A80" s="3"/>
      <c r="G80" s="7"/>
    </row>
    <row r="81" spans="1:7" x14ac:dyDescent="0.25">
      <c r="A81" s="3"/>
      <c r="G81" s="7"/>
    </row>
    <row r="82" spans="1:7" x14ac:dyDescent="0.25">
      <c r="A82" s="3"/>
      <c r="G82" s="7"/>
    </row>
    <row r="83" spans="1:7" x14ac:dyDescent="0.25">
      <c r="A83" s="3"/>
      <c r="G83" s="7"/>
    </row>
    <row r="84" spans="1:7" x14ac:dyDescent="0.25">
      <c r="A84" s="3"/>
      <c r="G84" s="7"/>
    </row>
    <row r="85" spans="1:7" x14ac:dyDescent="0.25">
      <c r="A85" s="3"/>
      <c r="G85" s="7"/>
    </row>
    <row r="86" spans="1:7" x14ac:dyDescent="0.25">
      <c r="A86" s="3"/>
      <c r="G86" s="7"/>
    </row>
    <row r="87" spans="1:7" x14ac:dyDescent="0.25">
      <c r="A87" s="3"/>
      <c r="G87" s="7"/>
    </row>
    <row r="88" spans="1:7" x14ac:dyDescent="0.25">
      <c r="A88" s="3"/>
      <c r="G88" s="7"/>
    </row>
    <row r="89" spans="1:7" x14ac:dyDescent="0.25">
      <c r="A89" s="3"/>
      <c r="G89" s="7"/>
    </row>
    <row r="90" spans="1:7" x14ac:dyDescent="0.25">
      <c r="A90" s="3"/>
      <c r="G90" s="7"/>
    </row>
    <row r="91" spans="1:7" x14ac:dyDescent="0.25">
      <c r="A91" s="3"/>
      <c r="G91" s="7"/>
    </row>
    <row r="92" spans="1:7" x14ac:dyDescent="0.25">
      <c r="A92" s="3"/>
      <c r="G92" s="7"/>
    </row>
    <row r="93" spans="1:7" x14ac:dyDescent="0.25">
      <c r="A93" s="3"/>
      <c r="G93" s="7"/>
    </row>
    <row r="94" spans="1:7" x14ac:dyDescent="0.25">
      <c r="A94" s="3"/>
      <c r="G94" s="7"/>
    </row>
    <row r="95" spans="1:7" x14ac:dyDescent="0.25">
      <c r="A95" s="3"/>
      <c r="G95" s="7"/>
    </row>
    <row r="96" spans="1:7" x14ac:dyDescent="0.25">
      <c r="A96" s="3"/>
      <c r="G96" s="7"/>
    </row>
    <row r="97" spans="1:7" x14ac:dyDescent="0.25">
      <c r="A97" s="3"/>
      <c r="G97" s="7"/>
    </row>
    <row r="98" spans="1:7" x14ac:dyDescent="0.25">
      <c r="A98" s="3"/>
      <c r="G98" s="7"/>
    </row>
    <row r="99" spans="1:7" x14ac:dyDescent="0.25">
      <c r="A99" s="3"/>
      <c r="G99" s="7"/>
    </row>
    <row r="100" spans="1:7" x14ac:dyDescent="0.25">
      <c r="A100" s="3"/>
      <c r="G100" s="7"/>
    </row>
    <row r="101" spans="1:7" x14ac:dyDescent="0.25">
      <c r="A101" s="3"/>
      <c r="G101" s="7"/>
    </row>
    <row r="102" spans="1:7" x14ac:dyDescent="0.25">
      <c r="A102" s="4"/>
      <c r="B102" s="2"/>
      <c r="C102" s="2"/>
      <c r="D102" s="2"/>
      <c r="E102" s="2"/>
      <c r="F102" s="2"/>
      <c r="G102" s="8"/>
    </row>
    <row r="106" spans="1:7" ht="19.8" x14ac:dyDescent="0.25">
      <c r="A106" s="350" t="s">
        <v>139</v>
      </c>
      <c r="B106" s="350"/>
      <c r="C106" s="350"/>
      <c r="D106" s="350"/>
      <c r="E106" s="350"/>
      <c r="F106" s="350"/>
      <c r="G106" s="350"/>
    </row>
    <row r="107" spans="1:7" ht="19.8" x14ac:dyDescent="0.25">
      <c r="A107" s="350" t="s">
        <v>140</v>
      </c>
      <c r="B107" s="350"/>
      <c r="C107" s="350"/>
      <c r="D107" s="350"/>
      <c r="E107" s="350"/>
      <c r="F107" s="350"/>
      <c r="G107" s="350"/>
    </row>
    <row r="108" spans="1:7" ht="19.8" x14ac:dyDescent="0.25">
      <c r="A108" s="350" t="s">
        <v>148</v>
      </c>
      <c r="B108" s="350"/>
      <c r="C108" s="350"/>
      <c r="D108" s="350"/>
      <c r="E108" s="350"/>
      <c r="F108" s="350"/>
      <c r="G108" s="350"/>
    </row>
  </sheetData>
  <mergeCells count="9">
    <mergeCell ref="A1:G1"/>
    <mergeCell ref="B7:G7"/>
    <mergeCell ref="B8:G8"/>
    <mergeCell ref="A3:G3"/>
    <mergeCell ref="A108:G108"/>
    <mergeCell ref="A106:G106"/>
    <mergeCell ref="A107:G107"/>
    <mergeCell ref="A21:G21"/>
    <mergeCell ref="A67:G67"/>
  </mergeCells>
  <phoneticPr fontId="0" type="noConversion"/>
  <pageMargins left="0.78740157480314965" right="0.39370078740157483" top="0.98425196850393704" bottom="1.1811023622047245" header="0.51181102362204722" footer="0.51181102362204722"/>
  <pageSetup paperSize="9" scale="75" orientation="portrait" r:id="rId1"/>
  <headerFooter alignWithMargins="0">
    <oddHeader>&amp;C&amp;"Verdana,Normal"AUTOS Nº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3"/>
  <dimension ref="A1:G308"/>
  <sheetViews>
    <sheetView topLeftCell="A5" zoomScale="90" zoomScaleNormal="90" workbookViewId="0">
      <selection activeCell="Z6" sqref="Z6"/>
    </sheetView>
  </sheetViews>
  <sheetFormatPr defaultColWidth="9.109375" defaultRowHeight="12.6" x14ac:dyDescent="0.2"/>
  <cols>
    <col min="1" max="2" width="24.6640625" style="10" customWidth="1"/>
    <col min="3" max="5" width="9.109375" style="10"/>
    <col min="6" max="6" width="11.6640625" style="10" customWidth="1"/>
    <col min="7" max="16384" width="9.109375" style="10"/>
  </cols>
  <sheetData>
    <row r="1" spans="1:7" x14ac:dyDescent="0.2">
      <c r="F1" s="354" t="s">
        <v>69</v>
      </c>
      <c r="G1" s="354"/>
    </row>
    <row r="2" spans="1:7" x14ac:dyDescent="0.2">
      <c r="A2" s="270" t="s">
        <v>68</v>
      </c>
      <c r="B2" s="271" t="e">
        <f>data_calc</f>
        <v>#REF!</v>
      </c>
      <c r="C2" s="10" t="e">
        <f>VLOOKUP(data_calc,BUSCA!F:G,2)</f>
        <v>#REF!</v>
      </c>
      <c r="F2" s="272">
        <v>35916</v>
      </c>
      <c r="G2" s="55">
        <v>3</v>
      </c>
    </row>
    <row r="3" spans="1:7" x14ac:dyDescent="0.2">
      <c r="F3" s="272">
        <v>35947</v>
      </c>
      <c r="G3" s="55">
        <v>4</v>
      </c>
    </row>
    <row r="4" spans="1:7" x14ac:dyDescent="0.2">
      <c r="F4" s="272">
        <v>35977</v>
      </c>
      <c r="G4" s="55">
        <v>5</v>
      </c>
    </row>
    <row r="5" spans="1:7" x14ac:dyDescent="0.2">
      <c r="F5" s="272">
        <v>36008</v>
      </c>
      <c r="G5" s="55">
        <v>6</v>
      </c>
    </row>
    <row r="6" spans="1:7" x14ac:dyDescent="0.2">
      <c r="F6" s="272">
        <v>36039</v>
      </c>
      <c r="G6" s="55">
        <v>7</v>
      </c>
    </row>
    <row r="7" spans="1:7" x14ac:dyDescent="0.2">
      <c r="F7" s="272">
        <v>36069</v>
      </c>
      <c r="G7" s="55">
        <v>8</v>
      </c>
    </row>
    <row r="8" spans="1:7" x14ac:dyDescent="0.2">
      <c r="F8" s="272">
        <v>36100</v>
      </c>
      <c r="G8" s="55">
        <v>9</v>
      </c>
    </row>
    <row r="9" spans="1:7" x14ac:dyDescent="0.2">
      <c r="F9" s="272">
        <v>36130</v>
      </c>
      <c r="G9" s="55">
        <v>10</v>
      </c>
    </row>
    <row r="10" spans="1:7" x14ac:dyDescent="0.2">
      <c r="F10" s="272">
        <v>36161</v>
      </c>
      <c r="G10" s="55">
        <v>11</v>
      </c>
    </row>
    <row r="11" spans="1:7" x14ac:dyDescent="0.2">
      <c r="F11" s="272">
        <v>36220</v>
      </c>
      <c r="G11" s="55">
        <v>13</v>
      </c>
    </row>
    <row r="12" spans="1:7" x14ac:dyDescent="0.2">
      <c r="F12" s="272">
        <v>36251</v>
      </c>
      <c r="G12" s="55">
        <v>14</v>
      </c>
    </row>
    <row r="13" spans="1:7" x14ac:dyDescent="0.2">
      <c r="F13" s="272">
        <v>36281</v>
      </c>
      <c r="G13" s="55">
        <v>15</v>
      </c>
    </row>
    <row r="14" spans="1:7" x14ac:dyDescent="0.2">
      <c r="F14" s="272">
        <v>36312</v>
      </c>
      <c r="G14" s="55">
        <v>16</v>
      </c>
    </row>
    <row r="15" spans="1:7" x14ac:dyDescent="0.2">
      <c r="F15" s="272">
        <v>36342</v>
      </c>
      <c r="G15" s="55">
        <v>17</v>
      </c>
    </row>
    <row r="16" spans="1:7" x14ac:dyDescent="0.2">
      <c r="F16" s="272">
        <v>36373</v>
      </c>
      <c r="G16" s="55">
        <v>18</v>
      </c>
    </row>
    <row r="17" spans="6:7" x14ac:dyDescent="0.2">
      <c r="F17" s="272">
        <v>36404</v>
      </c>
      <c r="G17" s="55">
        <v>19</v>
      </c>
    </row>
    <row r="18" spans="6:7" x14ac:dyDescent="0.2">
      <c r="F18" s="272">
        <v>36434</v>
      </c>
      <c r="G18" s="55">
        <v>20</v>
      </c>
    </row>
    <row r="19" spans="6:7" x14ac:dyDescent="0.2">
      <c r="F19" s="272">
        <v>36465</v>
      </c>
      <c r="G19" s="273">
        <v>21</v>
      </c>
    </row>
    <row r="20" spans="6:7" x14ac:dyDescent="0.2">
      <c r="F20" s="272">
        <v>36495</v>
      </c>
      <c r="G20" s="273">
        <v>22</v>
      </c>
    </row>
    <row r="21" spans="6:7" x14ac:dyDescent="0.2">
      <c r="F21" s="274">
        <v>36526</v>
      </c>
      <c r="G21" s="273">
        <v>23</v>
      </c>
    </row>
    <row r="22" spans="6:7" x14ac:dyDescent="0.2">
      <c r="F22" s="274">
        <v>36557</v>
      </c>
      <c r="G22" s="273">
        <v>24</v>
      </c>
    </row>
    <row r="23" spans="6:7" x14ac:dyDescent="0.2">
      <c r="F23" s="274">
        <v>36586</v>
      </c>
      <c r="G23" s="273">
        <v>25</v>
      </c>
    </row>
    <row r="24" spans="6:7" x14ac:dyDescent="0.2">
      <c r="F24" s="274">
        <v>36617</v>
      </c>
      <c r="G24" s="273">
        <v>26</v>
      </c>
    </row>
    <row r="25" spans="6:7" x14ac:dyDescent="0.2">
      <c r="F25" s="274">
        <v>36647</v>
      </c>
      <c r="G25" s="273">
        <v>27</v>
      </c>
    </row>
    <row r="26" spans="6:7" x14ac:dyDescent="0.2">
      <c r="F26" s="274">
        <v>36678</v>
      </c>
      <c r="G26" s="273">
        <v>28</v>
      </c>
    </row>
    <row r="27" spans="6:7" x14ac:dyDescent="0.2">
      <c r="F27" s="274">
        <v>36708</v>
      </c>
      <c r="G27" s="273">
        <v>29</v>
      </c>
    </row>
    <row r="28" spans="6:7" x14ac:dyDescent="0.2">
      <c r="F28" s="274">
        <v>36739</v>
      </c>
      <c r="G28" s="273">
        <v>30</v>
      </c>
    </row>
    <row r="29" spans="6:7" x14ac:dyDescent="0.2">
      <c r="F29" s="274">
        <v>36770</v>
      </c>
      <c r="G29" s="273">
        <v>31</v>
      </c>
    </row>
    <row r="30" spans="6:7" x14ac:dyDescent="0.2">
      <c r="F30" s="274">
        <v>36800</v>
      </c>
      <c r="G30" s="273">
        <v>32</v>
      </c>
    </row>
    <row r="31" spans="6:7" x14ac:dyDescent="0.2">
      <c r="F31" s="274">
        <v>36831</v>
      </c>
      <c r="G31" s="273">
        <v>33</v>
      </c>
    </row>
    <row r="32" spans="6:7" x14ac:dyDescent="0.2">
      <c r="F32" s="274">
        <v>36861</v>
      </c>
      <c r="G32" s="273">
        <v>34</v>
      </c>
    </row>
    <row r="33" spans="6:7" x14ac:dyDescent="0.2">
      <c r="F33" s="274">
        <v>36892</v>
      </c>
      <c r="G33" s="273">
        <v>35</v>
      </c>
    </row>
    <row r="34" spans="6:7" x14ac:dyDescent="0.2">
      <c r="F34" s="274">
        <v>36923</v>
      </c>
      <c r="G34" s="273">
        <v>36</v>
      </c>
    </row>
    <row r="35" spans="6:7" x14ac:dyDescent="0.2">
      <c r="F35" s="274">
        <v>36951</v>
      </c>
      <c r="G35" s="273">
        <v>37</v>
      </c>
    </row>
    <row r="36" spans="6:7" x14ac:dyDescent="0.2">
      <c r="F36" s="274">
        <v>36982</v>
      </c>
      <c r="G36" s="273">
        <v>38</v>
      </c>
    </row>
    <row r="37" spans="6:7" x14ac:dyDescent="0.2">
      <c r="F37" s="274">
        <v>37012</v>
      </c>
      <c r="G37" s="273">
        <v>39</v>
      </c>
    </row>
    <row r="38" spans="6:7" x14ac:dyDescent="0.2">
      <c r="F38" s="274">
        <v>37043</v>
      </c>
      <c r="G38" s="273">
        <v>40</v>
      </c>
    </row>
    <row r="39" spans="6:7" x14ac:dyDescent="0.2">
      <c r="F39" s="274">
        <v>37073</v>
      </c>
      <c r="G39" s="273">
        <v>41</v>
      </c>
    </row>
    <row r="40" spans="6:7" x14ac:dyDescent="0.2">
      <c r="F40" s="274">
        <v>37104</v>
      </c>
      <c r="G40" s="273">
        <v>42</v>
      </c>
    </row>
    <row r="41" spans="6:7" x14ac:dyDescent="0.2">
      <c r="F41" s="274">
        <v>37135</v>
      </c>
      <c r="G41" s="273">
        <v>43</v>
      </c>
    </row>
    <row r="42" spans="6:7" x14ac:dyDescent="0.2">
      <c r="F42" s="274">
        <v>37165</v>
      </c>
      <c r="G42" s="273">
        <v>44</v>
      </c>
    </row>
    <row r="43" spans="6:7" x14ac:dyDescent="0.2">
      <c r="F43" s="274">
        <v>37196</v>
      </c>
      <c r="G43" s="273">
        <v>45</v>
      </c>
    </row>
    <row r="44" spans="6:7" x14ac:dyDescent="0.2">
      <c r="F44" s="274">
        <v>37226</v>
      </c>
      <c r="G44" s="273">
        <v>46</v>
      </c>
    </row>
    <row r="45" spans="6:7" x14ac:dyDescent="0.2">
      <c r="F45" s="274">
        <v>37257</v>
      </c>
      <c r="G45" s="273">
        <v>47</v>
      </c>
    </row>
    <row r="46" spans="6:7" x14ac:dyDescent="0.2">
      <c r="F46" s="274">
        <v>37288</v>
      </c>
      <c r="G46" s="273">
        <v>48</v>
      </c>
    </row>
    <row r="47" spans="6:7" x14ac:dyDescent="0.2">
      <c r="F47" s="274">
        <v>37316</v>
      </c>
      <c r="G47" s="273">
        <v>49</v>
      </c>
    </row>
    <row r="48" spans="6:7" x14ac:dyDescent="0.2">
      <c r="F48" s="274">
        <v>37347</v>
      </c>
      <c r="G48" s="273">
        <v>50</v>
      </c>
    </row>
    <row r="49" spans="6:7" x14ac:dyDescent="0.2">
      <c r="F49" s="274">
        <v>37377</v>
      </c>
      <c r="G49" s="273">
        <v>51</v>
      </c>
    </row>
    <row r="50" spans="6:7" x14ac:dyDescent="0.2">
      <c r="F50" s="274">
        <v>37408</v>
      </c>
      <c r="G50" s="273">
        <v>52</v>
      </c>
    </row>
    <row r="51" spans="6:7" x14ac:dyDescent="0.2">
      <c r="F51" s="274">
        <v>37438</v>
      </c>
      <c r="G51" s="273">
        <v>53</v>
      </c>
    </row>
    <row r="52" spans="6:7" x14ac:dyDescent="0.2">
      <c r="F52" s="274">
        <v>37469</v>
      </c>
      <c r="G52" s="273">
        <v>54</v>
      </c>
    </row>
    <row r="53" spans="6:7" x14ac:dyDescent="0.2">
      <c r="F53" s="274">
        <v>37500</v>
      </c>
      <c r="G53" s="273">
        <v>55</v>
      </c>
    </row>
    <row r="54" spans="6:7" x14ac:dyDescent="0.2">
      <c r="F54" s="274">
        <v>37530</v>
      </c>
      <c r="G54" s="273">
        <v>56</v>
      </c>
    </row>
    <row r="55" spans="6:7" x14ac:dyDescent="0.2">
      <c r="F55" s="274">
        <v>37561</v>
      </c>
      <c r="G55" s="273">
        <v>57</v>
      </c>
    </row>
    <row r="56" spans="6:7" x14ac:dyDescent="0.2">
      <c r="F56" s="274">
        <v>37591</v>
      </c>
      <c r="G56" s="273">
        <v>58</v>
      </c>
    </row>
    <row r="57" spans="6:7" x14ac:dyDescent="0.2">
      <c r="F57" s="274">
        <v>37622</v>
      </c>
      <c r="G57" s="273">
        <v>59</v>
      </c>
    </row>
    <row r="58" spans="6:7" x14ac:dyDescent="0.2">
      <c r="F58" s="274">
        <v>37653</v>
      </c>
      <c r="G58" s="273">
        <v>60</v>
      </c>
    </row>
    <row r="59" spans="6:7" x14ac:dyDescent="0.2">
      <c r="F59" s="274">
        <v>37681</v>
      </c>
      <c r="G59" s="273">
        <v>61</v>
      </c>
    </row>
    <row r="60" spans="6:7" x14ac:dyDescent="0.2">
      <c r="F60" s="274">
        <v>37712</v>
      </c>
      <c r="G60" s="273">
        <v>62</v>
      </c>
    </row>
    <row r="61" spans="6:7" x14ac:dyDescent="0.2">
      <c r="F61" s="274">
        <v>37742</v>
      </c>
      <c r="G61" s="273">
        <v>63</v>
      </c>
    </row>
    <row r="62" spans="6:7" x14ac:dyDescent="0.2">
      <c r="F62" s="274">
        <v>37773</v>
      </c>
      <c r="G62" s="273">
        <v>64</v>
      </c>
    </row>
    <row r="63" spans="6:7" x14ac:dyDescent="0.2">
      <c r="F63" s="274">
        <v>37803</v>
      </c>
      <c r="G63" s="273">
        <v>65</v>
      </c>
    </row>
    <row r="64" spans="6:7" x14ac:dyDescent="0.2">
      <c r="F64" s="274">
        <v>37834</v>
      </c>
      <c r="G64" s="273">
        <v>66</v>
      </c>
    </row>
    <row r="65" spans="6:7" x14ac:dyDescent="0.2">
      <c r="F65" s="274">
        <v>37865</v>
      </c>
      <c r="G65" s="273">
        <v>67</v>
      </c>
    </row>
    <row r="66" spans="6:7" x14ac:dyDescent="0.2">
      <c r="F66" s="274">
        <v>37895</v>
      </c>
      <c r="G66" s="273">
        <v>68</v>
      </c>
    </row>
    <row r="67" spans="6:7" x14ac:dyDescent="0.2">
      <c r="F67" s="274">
        <v>37926</v>
      </c>
      <c r="G67" s="273">
        <v>69</v>
      </c>
    </row>
    <row r="68" spans="6:7" x14ac:dyDescent="0.2">
      <c r="F68" s="274">
        <v>37956</v>
      </c>
      <c r="G68" s="273">
        <v>70</v>
      </c>
    </row>
    <row r="69" spans="6:7" x14ac:dyDescent="0.2">
      <c r="F69" s="274">
        <v>37987</v>
      </c>
      <c r="G69" s="273">
        <v>71</v>
      </c>
    </row>
    <row r="70" spans="6:7" x14ac:dyDescent="0.2">
      <c r="F70" s="274">
        <v>38018</v>
      </c>
      <c r="G70" s="273">
        <v>72</v>
      </c>
    </row>
    <row r="71" spans="6:7" x14ac:dyDescent="0.2">
      <c r="F71" s="274">
        <v>38047</v>
      </c>
      <c r="G71" s="273">
        <v>73</v>
      </c>
    </row>
    <row r="72" spans="6:7" x14ac:dyDescent="0.2">
      <c r="F72" s="274">
        <v>38078</v>
      </c>
      <c r="G72" s="273">
        <v>74</v>
      </c>
    </row>
    <row r="73" spans="6:7" x14ac:dyDescent="0.2">
      <c r="F73" s="274">
        <v>38108</v>
      </c>
      <c r="G73" s="273">
        <v>75</v>
      </c>
    </row>
    <row r="74" spans="6:7" x14ac:dyDescent="0.2">
      <c r="F74" s="274">
        <v>38139</v>
      </c>
      <c r="G74" s="273">
        <v>76</v>
      </c>
    </row>
    <row r="75" spans="6:7" x14ac:dyDescent="0.2">
      <c r="F75" s="274">
        <v>38169</v>
      </c>
      <c r="G75" s="273">
        <v>77</v>
      </c>
    </row>
    <row r="76" spans="6:7" x14ac:dyDescent="0.2">
      <c r="F76" s="274">
        <v>38200</v>
      </c>
      <c r="G76" s="273">
        <v>78</v>
      </c>
    </row>
    <row r="77" spans="6:7" x14ac:dyDescent="0.2">
      <c r="F77" s="274">
        <v>38231</v>
      </c>
      <c r="G77" s="273">
        <v>79</v>
      </c>
    </row>
    <row r="78" spans="6:7" x14ac:dyDescent="0.2">
      <c r="F78" s="274">
        <v>38261</v>
      </c>
      <c r="G78" s="273">
        <v>80</v>
      </c>
    </row>
    <row r="79" spans="6:7" x14ac:dyDescent="0.2">
      <c r="F79" s="274">
        <v>38292</v>
      </c>
      <c r="G79" s="273">
        <v>81</v>
      </c>
    </row>
    <row r="80" spans="6:7" x14ac:dyDescent="0.2">
      <c r="F80" s="274">
        <v>38322</v>
      </c>
      <c r="G80" s="273">
        <v>82</v>
      </c>
    </row>
    <row r="81" spans="6:7" x14ac:dyDescent="0.2">
      <c r="F81" s="274">
        <v>38353</v>
      </c>
      <c r="G81" s="273">
        <v>83</v>
      </c>
    </row>
    <row r="82" spans="6:7" x14ac:dyDescent="0.2">
      <c r="F82" s="274">
        <v>38384</v>
      </c>
      <c r="G82" s="273">
        <v>84</v>
      </c>
    </row>
    <row r="83" spans="6:7" x14ac:dyDescent="0.2">
      <c r="F83" s="274">
        <v>38412</v>
      </c>
      <c r="G83" s="273">
        <v>85</v>
      </c>
    </row>
    <row r="84" spans="6:7" x14ac:dyDescent="0.2">
      <c r="F84" s="274">
        <v>38443</v>
      </c>
      <c r="G84" s="273">
        <v>86</v>
      </c>
    </row>
    <row r="85" spans="6:7" x14ac:dyDescent="0.2">
      <c r="F85" s="274">
        <v>38473</v>
      </c>
      <c r="G85" s="273">
        <v>87</v>
      </c>
    </row>
    <row r="86" spans="6:7" x14ac:dyDescent="0.2">
      <c r="F86" s="274">
        <v>38504</v>
      </c>
      <c r="G86" s="273">
        <v>88</v>
      </c>
    </row>
    <row r="87" spans="6:7" x14ac:dyDescent="0.2">
      <c r="F87" s="274">
        <v>38534</v>
      </c>
      <c r="G87" s="273">
        <v>89</v>
      </c>
    </row>
    <row r="88" spans="6:7" x14ac:dyDescent="0.2">
      <c r="F88" s="274">
        <v>38565</v>
      </c>
      <c r="G88" s="273">
        <v>90</v>
      </c>
    </row>
    <row r="89" spans="6:7" x14ac:dyDescent="0.2">
      <c r="F89" s="274">
        <v>38596</v>
      </c>
      <c r="G89" s="273">
        <v>91</v>
      </c>
    </row>
    <row r="90" spans="6:7" x14ac:dyDescent="0.2">
      <c r="F90" s="274">
        <v>38626</v>
      </c>
      <c r="G90" s="273">
        <v>92</v>
      </c>
    </row>
    <row r="91" spans="6:7" x14ac:dyDescent="0.2">
      <c r="F91" s="274">
        <v>38657</v>
      </c>
      <c r="G91" s="273">
        <v>93</v>
      </c>
    </row>
    <row r="92" spans="6:7" x14ac:dyDescent="0.2">
      <c r="F92" s="274">
        <v>38687</v>
      </c>
      <c r="G92" s="273">
        <v>94</v>
      </c>
    </row>
    <row r="93" spans="6:7" x14ac:dyDescent="0.2">
      <c r="F93" s="274">
        <v>38718</v>
      </c>
      <c r="G93" s="273">
        <v>95</v>
      </c>
    </row>
    <row r="94" spans="6:7" x14ac:dyDescent="0.2">
      <c r="F94" s="274">
        <v>38749</v>
      </c>
      <c r="G94" s="273">
        <v>96</v>
      </c>
    </row>
    <row r="95" spans="6:7" x14ac:dyDescent="0.2">
      <c r="F95" s="274">
        <v>38777</v>
      </c>
      <c r="G95" s="273">
        <v>97</v>
      </c>
    </row>
    <row r="96" spans="6:7" x14ac:dyDescent="0.2">
      <c r="F96" s="274">
        <v>38808</v>
      </c>
      <c r="G96" s="273">
        <v>98</v>
      </c>
    </row>
    <row r="97" spans="6:7" x14ac:dyDescent="0.2">
      <c r="F97" s="274">
        <v>38838</v>
      </c>
      <c r="G97" s="273">
        <v>99</v>
      </c>
    </row>
    <row r="98" spans="6:7" x14ac:dyDescent="0.2">
      <c r="F98" s="274">
        <v>38869</v>
      </c>
      <c r="G98" s="273">
        <v>100</v>
      </c>
    </row>
    <row r="99" spans="6:7" x14ac:dyDescent="0.2">
      <c r="F99" s="274">
        <v>38899</v>
      </c>
      <c r="G99" s="273">
        <v>101</v>
      </c>
    </row>
    <row r="100" spans="6:7" x14ac:dyDescent="0.2">
      <c r="F100" s="274">
        <v>38930</v>
      </c>
      <c r="G100" s="273">
        <v>102</v>
      </c>
    </row>
    <row r="101" spans="6:7" x14ac:dyDescent="0.2">
      <c r="F101" s="274">
        <v>38961</v>
      </c>
      <c r="G101" s="273">
        <v>103</v>
      </c>
    </row>
    <row r="102" spans="6:7" x14ac:dyDescent="0.2">
      <c r="F102" s="274">
        <v>38991</v>
      </c>
      <c r="G102" s="273">
        <v>104</v>
      </c>
    </row>
    <row r="103" spans="6:7" x14ac:dyDescent="0.2">
      <c r="F103" s="274">
        <v>39022</v>
      </c>
      <c r="G103" s="273">
        <v>105</v>
      </c>
    </row>
    <row r="104" spans="6:7" x14ac:dyDescent="0.2">
      <c r="F104" s="274">
        <v>39052</v>
      </c>
      <c r="G104" s="273">
        <v>106</v>
      </c>
    </row>
    <row r="105" spans="6:7" x14ac:dyDescent="0.2">
      <c r="F105" s="274">
        <v>39083</v>
      </c>
      <c r="G105" s="273">
        <v>107</v>
      </c>
    </row>
    <row r="106" spans="6:7" x14ac:dyDescent="0.2">
      <c r="F106" s="274">
        <v>39114</v>
      </c>
      <c r="G106" s="273">
        <v>108</v>
      </c>
    </row>
    <row r="107" spans="6:7" x14ac:dyDescent="0.2">
      <c r="F107" s="274">
        <v>39142</v>
      </c>
      <c r="G107" s="273">
        <v>109</v>
      </c>
    </row>
    <row r="108" spans="6:7" x14ac:dyDescent="0.2">
      <c r="F108" s="274">
        <v>39173</v>
      </c>
      <c r="G108" s="273">
        <v>110</v>
      </c>
    </row>
    <row r="109" spans="6:7" x14ac:dyDescent="0.2">
      <c r="F109" s="274">
        <v>39203</v>
      </c>
      <c r="G109" s="273">
        <v>111</v>
      </c>
    </row>
    <row r="110" spans="6:7" x14ac:dyDescent="0.2">
      <c r="F110" s="274">
        <v>39234</v>
      </c>
      <c r="G110" s="273">
        <v>112</v>
      </c>
    </row>
    <row r="111" spans="6:7" x14ac:dyDescent="0.2">
      <c r="F111" s="274">
        <v>39264</v>
      </c>
      <c r="G111" s="273">
        <v>113</v>
      </c>
    </row>
    <row r="112" spans="6:7" x14ac:dyDescent="0.2">
      <c r="F112" s="274">
        <v>39295</v>
      </c>
      <c r="G112" s="273">
        <v>114</v>
      </c>
    </row>
    <row r="113" spans="6:7" x14ac:dyDescent="0.2">
      <c r="F113" s="274">
        <v>39326</v>
      </c>
      <c r="G113" s="273">
        <v>115</v>
      </c>
    </row>
    <row r="114" spans="6:7" x14ac:dyDescent="0.2">
      <c r="F114" s="274">
        <v>39356</v>
      </c>
      <c r="G114" s="273">
        <v>116</v>
      </c>
    </row>
    <row r="115" spans="6:7" x14ac:dyDescent="0.2">
      <c r="F115" s="274">
        <v>39387</v>
      </c>
      <c r="G115" s="273">
        <v>117</v>
      </c>
    </row>
    <row r="116" spans="6:7" x14ac:dyDescent="0.2">
      <c r="F116" s="274">
        <v>39417</v>
      </c>
      <c r="G116" s="273">
        <v>118</v>
      </c>
    </row>
    <row r="117" spans="6:7" x14ac:dyDescent="0.2">
      <c r="F117" s="274">
        <v>39448</v>
      </c>
      <c r="G117" s="273">
        <v>119</v>
      </c>
    </row>
    <row r="118" spans="6:7" x14ac:dyDescent="0.2">
      <c r="F118" s="274">
        <v>39479</v>
      </c>
      <c r="G118" s="273">
        <v>120</v>
      </c>
    </row>
    <row r="119" spans="6:7" x14ac:dyDescent="0.2">
      <c r="F119" s="274">
        <v>39508</v>
      </c>
      <c r="G119" s="273">
        <v>121</v>
      </c>
    </row>
    <row r="120" spans="6:7" x14ac:dyDescent="0.2">
      <c r="F120" s="274">
        <v>39539</v>
      </c>
      <c r="G120" s="273">
        <v>122</v>
      </c>
    </row>
    <row r="121" spans="6:7" x14ac:dyDescent="0.2">
      <c r="F121" s="274">
        <v>39569</v>
      </c>
      <c r="G121" s="273">
        <v>123</v>
      </c>
    </row>
    <row r="122" spans="6:7" x14ac:dyDescent="0.2">
      <c r="F122" s="274">
        <v>39600</v>
      </c>
      <c r="G122" s="273">
        <v>124</v>
      </c>
    </row>
    <row r="123" spans="6:7" x14ac:dyDescent="0.2">
      <c r="F123" s="274">
        <v>39630</v>
      </c>
      <c r="G123" s="273">
        <v>125</v>
      </c>
    </row>
    <row r="124" spans="6:7" x14ac:dyDescent="0.2">
      <c r="F124" s="274">
        <v>39661</v>
      </c>
      <c r="G124" s="273">
        <v>126</v>
      </c>
    </row>
    <row r="125" spans="6:7" x14ac:dyDescent="0.2">
      <c r="F125" s="274">
        <v>39692</v>
      </c>
      <c r="G125" s="273">
        <v>127</v>
      </c>
    </row>
    <row r="126" spans="6:7" x14ac:dyDescent="0.2">
      <c r="F126" s="274">
        <v>39722</v>
      </c>
      <c r="G126" s="273">
        <v>128</v>
      </c>
    </row>
    <row r="127" spans="6:7" x14ac:dyDescent="0.2">
      <c r="F127" s="274">
        <v>39753</v>
      </c>
      <c r="G127" s="273">
        <v>129</v>
      </c>
    </row>
    <row r="128" spans="6:7" x14ac:dyDescent="0.2">
      <c r="F128" s="274">
        <v>39783</v>
      </c>
      <c r="G128" s="273">
        <v>130</v>
      </c>
    </row>
    <row r="129" spans="6:7" x14ac:dyDescent="0.2">
      <c r="F129" s="274">
        <v>39814</v>
      </c>
      <c r="G129" s="273">
        <v>131</v>
      </c>
    </row>
    <row r="130" spans="6:7" x14ac:dyDescent="0.2">
      <c r="F130" s="274">
        <v>39845</v>
      </c>
      <c r="G130" s="273">
        <v>132</v>
      </c>
    </row>
    <row r="131" spans="6:7" x14ac:dyDescent="0.2">
      <c r="F131" s="274">
        <v>39873</v>
      </c>
      <c r="G131" s="273">
        <v>133</v>
      </c>
    </row>
    <row r="132" spans="6:7" x14ac:dyDescent="0.2">
      <c r="F132" s="274">
        <v>39904</v>
      </c>
      <c r="G132" s="273">
        <v>134</v>
      </c>
    </row>
    <row r="133" spans="6:7" x14ac:dyDescent="0.2">
      <c r="F133" s="274">
        <v>39934</v>
      </c>
      <c r="G133" s="273">
        <v>135</v>
      </c>
    </row>
    <row r="134" spans="6:7" x14ac:dyDescent="0.2">
      <c r="F134" s="274">
        <v>39965</v>
      </c>
      <c r="G134" s="273">
        <v>136</v>
      </c>
    </row>
    <row r="135" spans="6:7" x14ac:dyDescent="0.2">
      <c r="F135" s="274">
        <v>39995</v>
      </c>
      <c r="G135" s="273">
        <v>137</v>
      </c>
    </row>
    <row r="136" spans="6:7" x14ac:dyDescent="0.2">
      <c r="F136" s="274">
        <v>40026</v>
      </c>
      <c r="G136" s="273">
        <v>138</v>
      </c>
    </row>
    <row r="137" spans="6:7" x14ac:dyDescent="0.2">
      <c r="F137" s="274">
        <v>40057</v>
      </c>
      <c r="G137" s="273">
        <v>139</v>
      </c>
    </row>
    <row r="138" spans="6:7" x14ac:dyDescent="0.2">
      <c r="F138" s="274">
        <v>40087</v>
      </c>
      <c r="G138" s="273">
        <v>140</v>
      </c>
    </row>
    <row r="139" spans="6:7" x14ac:dyDescent="0.2">
      <c r="F139" s="274">
        <v>40118</v>
      </c>
      <c r="G139" s="273">
        <v>141</v>
      </c>
    </row>
    <row r="140" spans="6:7" x14ac:dyDescent="0.2">
      <c r="F140" s="274">
        <v>40148</v>
      </c>
      <c r="G140" s="273">
        <v>142</v>
      </c>
    </row>
    <row r="141" spans="6:7" x14ac:dyDescent="0.2">
      <c r="F141" s="274">
        <v>40179</v>
      </c>
      <c r="G141" s="273">
        <v>143</v>
      </c>
    </row>
    <row r="142" spans="6:7" x14ac:dyDescent="0.2">
      <c r="F142" s="274">
        <v>40210</v>
      </c>
      <c r="G142" s="273">
        <v>144</v>
      </c>
    </row>
    <row r="143" spans="6:7" x14ac:dyDescent="0.2">
      <c r="F143" s="274">
        <v>40238</v>
      </c>
      <c r="G143" s="273">
        <v>145</v>
      </c>
    </row>
    <row r="144" spans="6:7" x14ac:dyDescent="0.2">
      <c r="F144" s="274">
        <v>40269</v>
      </c>
      <c r="G144" s="273">
        <v>146</v>
      </c>
    </row>
    <row r="145" spans="6:7" x14ac:dyDescent="0.2">
      <c r="F145" s="274">
        <v>40299</v>
      </c>
      <c r="G145" s="273">
        <v>147</v>
      </c>
    </row>
    <row r="146" spans="6:7" x14ac:dyDescent="0.2">
      <c r="F146" s="274">
        <v>40330</v>
      </c>
      <c r="G146" s="273">
        <v>148</v>
      </c>
    </row>
    <row r="147" spans="6:7" x14ac:dyDescent="0.2">
      <c r="F147" s="274">
        <v>40360</v>
      </c>
      <c r="G147" s="273">
        <v>149</v>
      </c>
    </row>
    <row r="148" spans="6:7" x14ac:dyDescent="0.2">
      <c r="F148" s="274">
        <v>40391</v>
      </c>
      <c r="G148" s="273">
        <v>150</v>
      </c>
    </row>
    <row r="149" spans="6:7" x14ac:dyDescent="0.2">
      <c r="F149" s="274">
        <v>40422</v>
      </c>
      <c r="G149" s="273">
        <v>151</v>
      </c>
    </row>
    <row r="150" spans="6:7" x14ac:dyDescent="0.2">
      <c r="F150" s="274">
        <v>40452</v>
      </c>
      <c r="G150" s="273">
        <v>152</v>
      </c>
    </row>
    <row r="151" spans="6:7" x14ac:dyDescent="0.2">
      <c r="F151" s="274">
        <v>40483</v>
      </c>
      <c r="G151" s="273">
        <v>153</v>
      </c>
    </row>
    <row r="152" spans="6:7" x14ac:dyDescent="0.2">
      <c r="F152" s="274">
        <v>40513</v>
      </c>
      <c r="G152" s="273">
        <v>154</v>
      </c>
    </row>
    <row r="153" spans="6:7" x14ac:dyDescent="0.2">
      <c r="F153" s="274">
        <v>40544</v>
      </c>
      <c r="G153" s="273">
        <v>155</v>
      </c>
    </row>
    <row r="154" spans="6:7" x14ac:dyDescent="0.2">
      <c r="F154" s="274">
        <v>40575</v>
      </c>
      <c r="G154" s="273">
        <v>156</v>
      </c>
    </row>
    <row r="155" spans="6:7" x14ac:dyDescent="0.2">
      <c r="F155" s="274">
        <v>40603</v>
      </c>
      <c r="G155" s="273">
        <v>157</v>
      </c>
    </row>
    <row r="156" spans="6:7" x14ac:dyDescent="0.2">
      <c r="F156" s="274">
        <v>40634</v>
      </c>
      <c r="G156" s="273">
        <v>158</v>
      </c>
    </row>
    <row r="157" spans="6:7" x14ac:dyDescent="0.2">
      <c r="F157" s="274">
        <v>40664</v>
      </c>
      <c r="G157" s="273">
        <v>159</v>
      </c>
    </row>
    <row r="158" spans="6:7" x14ac:dyDescent="0.2">
      <c r="F158" s="274">
        <v>40695</v>
      </c>
      <c r="G158" s="273">
        <v>160</v>
      </c>
    </row>
    <row r="159" spans="6:7" x14ac:dyDescent="0.2">
      <c r="F159" s="274">
        <v>40725</v>
      </c>
      <c r="G159" s="273">
        <v>161</v>
      </c>
    </row>
    <row r="160" spans="6:7" x14ac:dyDescent="0.2">
      <c r="F160" s="274">
        <v>40756</v>
      </c>
      <c r="G160" s="273">
        <v>162</v>
      </c>
    </row>
    <row r="161" spans="6:7" x14ac:dyDescent="0.2">
      <c r="F161" s="274">
        <v>40787</v>
      </c>
      <c r="G161" s="273">
        <v>163</v>
      </c>
    </row>
    <row r="162" spans="6:7" x14ac:dyDescent="0.2">
      <c r="F162" s="274">
        <v>40817</v>
      </c>
      <c r="G162" s="273">
        <v>164</v>
      </c>
    </row>
    <row r="163" spans="6:7" x14ac:dyDescent="0.2">
      <c r="F163" s="274">
        <v>40848</v>
      </c>
      <c r="G163" s="273">
        <v>165</v>
      </c>
    </row>
    <row r="164" spans="6:7" x14ac:dyDescent="0.2">
      <c r="F164" s="274">
        <v>40878</v>
      </c>
      <c r="G164" s="273">
        <v>166</v>
      </c>
    </row>
    <row r="165" spans="6:7" x14ac:dyDescent="0.2">
      <c r="F165" s="274">
        <v>40909</v>
      </c>
      <c r="G165" s="273">
        <v>167</v>
      </c>
    </row>
    <row r="166" spans="6:7" x14ac:dyDescent="0.2">
      <c r="F166" s="274">
        <v>40940</v>
      </c>
      <c r="G166" s="273">
        <v>168</v>
      </c>
    </row>
    <row r="167" spans="6:7" x14ac:dyDescent="0.2">
      <c r="F167" s="274">
        <v>40969</v>
      </c>
      <c r="G167" s="273">
        <v>169</v>
      </c>
    </row>
    <row r="168" spans="6:7" x14ac:dyDescent="0.2">
      <c r="F168" s="274">
        <v>41000</v>
      </c>
      <c r="G168" s="273">
        <v>170</v>
      </c>
    </row>
    <row r="169" spans="6:7" x14ac:dyDescent="0.2">
      <c r="F169" s="274">
        <v>41030</v>
      </c>
      <c r="G169" s="273">
        <v>171</v>
      </c>
    </row>
    <row r="170" spans="6:7" x14ac:dyDescent="0.2">
      <c r="F170" s="274">
        <v>41061</v>
      </c>
      <c r="G170" s="273">
        <v>172</v>
      </c>
    </row>
    <row r="171" spans="6:7" x14ac:dyDescent="0.2">
      <c r="F171" s="274">
        <v>41091</v>
      </c>
      <c r="G171" s="273">
        <v>173</v>
      </c>
    </row>
    <row r="172" spans="6:7" x14ac:dyDescent="0.2">
      <c r="F172" s="274">
        <v>41122</v>
      </c>
      <c r="G172" s="273">
        <v>174</v>
      </c>
    </row>
    <row r="173" spans="6:7" x14ac:dyDescent="0.2">
      <c r="F173" s="274">
        <v>41153</v>
      </c>
      <c r="G173" s="273">
        <v>175</v>
      </c>
    </row>
    <row r="174" spans="6:7" x14ac:dyDescent="0.2">
      <c r="F174" s="274">
        <v>41183</v>
      </c>
      <c r="G174" s="273">
        <v>176</v>
      </c>
    </row>
    <row r="175" spans="6:7" x14ac:dyDescent="0.2">
      <c r="F175" s="274">
        <v>41214</v>
      </c>
      <c r="G175" s="273">
        <v>177</v>
      </c>
    </row>
    <row r="176" spans="6:7" x14ac:dyDescent="0.2">
      <c r="F176" s="274">
        <v>41244</v>
      </c>
      <c r="G176" s="273">
        <v>178</v>
      </c>
    </row>
    <row r="177" spans="6:7" x14ac:dyDescent="0.2">
      <c r="F177" s="274">
        <v>41275</v>
      </c>
      <c r="G177" s="273">
        <v>179</v>
      </c>
    </row>
    <row r="178" spans="6:7" x14ac:dyDescent="0.2">
      <c r="F178" s="274">
        <v>41306</v>
      </c>
      <c r="G178" s="273">
        <v>180</v>
      </c>
    </row>
    <row r="179" spans="6:7" x14ac:dyDescent="0.2">
      <c r="F179" s="274">
        <v>41334</v>
      </c>
      <c r="G179" s="273">
        <v>181</v>
      </c>
    </row>
    <row r="180" spans="6:7" x14ac:dyDescent="0.2">
      <c r="F180" s="274">
        <v>41365</v>
      </c>
      <c r="G180" s="273">
        <v>182</v>
      </c>
    </row>
    <row r="181" spans="6:7" x14ac:dyDescent="0.2">
      <c r="F181" s="274">
        <v>41395</v>
      </c>
      <c r="G181" s="273">
        <v>183</v>
      </c>
    </row>
    <row r="182" spans="6:7" x14ac:dyDescent="0.2">
      <c r="F182" s="274">
        <v>41426</v>
      </c>
      <c r="G182" s="273">
        <v>184</v>
      </c>
    </row>
    <row r="183" spans="6:7" x14ac:dyDescent="0.2">
      <c r="F183" s="274">
        <v>41456</v>
      </c>
      <c r="G183" s="273">
        <v>185</v>
      </c>
    </row>
    <row r="184" spans="6:7" x14ac:dyDescent="0.2">
      <c r="F184" s="274">
        <v>41487</v>
      </c>
      <c r="G184" s="273">
        <v>186</v>
      </c>
    </row>
    <row r="185" spans="6:7" x14ac:dyDescent="0.2">
      <c r="F185" s="274">
        <v>41518</v>
      </c>
      <c r="G185" s="273">
        <v>187</v>
      </c>
    </row>
    <row r="186" spans="6:7" x14ac:dyDescent="0.2">
      <c r="F186" s="274">
        <v>41548</v>
      </c>
      <c r="G186" s="273">
        <v>188</v>
      </c>
    </row>
    <row r="187" spans="6:7" x14ac:dyDescent="0.2">
      <c r="F187" s="274">
        <v>41579</v>
      </c>
      <c r="G187" s="273">
        <v>189</v>
      </c>
    </row>
    <row r="188" spans="6:7" x14ac:dyDescent="0.2">
      <c r="F188" s="274">
        <v>41609</v>
      </c>
      <c r="G188" s="273">
        <v>190</v>
      </c>
    </row>
    <row r="189" spans="6:7" x14ac:dyDescent="0.2">
      <c r="F189" s="274">
        <v>41640</v>
      </c>
      <c r="G189" s="273">
        <v>191</v>
      </c>
    </row>
    <row r="190" spans="6:7" x14ac:dyDescent="0.2">
      <c r="F190" s="274">
        <v>41671</v>
      </c>
      <c r="G190" s="273">
        <v>192</v>
      </c>
    </row>
    <row r="191" spans="6:7" x14ac:dyDescent="0.2">
      <c r="F191" s="274">
        <v>41699</v>
      </c>
      <c r="G191" s="273">
        <v>193</v>
      </c>
    </row>
    <row r="192" spans="6:7" x14ac:dyDescent="0.2">
      <c r="F192" s="274">
        <v>41730</v>
      </c>
      <c r="G192" s="273">
        <v>194</v>
      </c>
    </row>
    <row r="193" spans="6:7" x14ac:dyDescent="0.2">
      <c r="F193" s="274">
        <v>41760</v>
      </c>
      <c r="G193" s="273">
        <v>195</v>
      </c>
    </row>
    <row r="194" spans="6:7" x14ac:dyDescent="0.2">
      <c r="F194" s="274">
        <v>41791</v>
      </c>
      <c r="G194" s="273">
        <v>196</v>
      </c>
    </row>
    <row r="195" spans="6:7" x14ac:dyDescent="0.2">
      <c r="F195" s="274">
        <v>41821</v>
      </c>
      <c r="G195" s="273">
        <v>197</v>
      </c>
    </row>
    <row r="196" spans="6:7" x14ac:dyDescent="0.2">
      <c r="F196" s="274">
        <v>41852</v>
      </c>
      <c r="G196" s="273">
        <v>198</v>
      </c>
    </row>
    <row r="197" spans="6:7" x14ac:dyDescent="0.2">
      <c r="F197" s="274">
        <v>41883</v>
      </c>
      <c r="G197" s="273">
        <v>199</v>
      </c>
    </row>
    <row r="198" spans="6:7" x14ac:dyDescent="0.2">
      <c r="F198" s="274">
        <v>41913</v>
      </c>
      <c r="G198" s="273">
        <v>200</v>
      </c>
    </row>
    <row r="199" spans="6:7" x14ac:dyDescent="0.2">
      <c r="F199" s="274">
        <v>41944</v>
      </c>
      <c r="G199" s="273">
        <v>201</v>
      </c>
    </row>
    <row r="200" spans="6:7" x14ac:dyDescent="0.2">
      <c r="F200" s="274">
        <v>41974</v>
      </c>
      <c r="G200" s="273">
        <v>202</v>
      </c>
    </row>
    <row r="201" spans="6:7" x14ac:dyDescent="0.2">
      <c r="F201" s="274">
        <v>42005</v>
      </c>
      <c r="G201" s="273">
        <v>203</v>
      </c>
    </row>
    <row r="202" spans="6:7" x14ac:dyDescent="0.2">
      <c r="F202" s="274">
        <v>42036</v>
      </c>
      <c r="G202" s="273">
        <v>204</v>
      </c>
    </row>
    <row r="203" spans="6:7" x14ac:dyDescent="0.2">
      <c r="F203" s="274">
        <v>42064</v>
      </c>
      <c r="G203" s="273">
        <v>205</v>
      </c>
    </row>
    <row r="204" spans="6:7" x14ac:dyDescent="0.2">
      <c r="F204" s="274">
        <v>42095</v>
      </c>
      <c r="G204" s="273">
        <v>206</v>
      </c>
    </row>
    <row r="205" spans="6:7" x14ac:dyDescent="0.2">
      <c r="F205" s="274">
        <v>42125</v>
      </c>
      <c r="G205" s="273">
        <v>207</v>
      </c>
    </row>
    <row r="206" spans="6:7" x14ac:dyDescent="0.2">
      <c r="F206" s="274">
        <v>42156</v>
      </c>
      <c r="G206" s="273">
        <v>208</v>
      </c>
    </row>
    <row r="207" spans="6:7" x14ac:dyDescent="0.2">
      <c r="F207" s="274">
        <v>42186</v>
      </c>
      <c r="G207" s="273">
        <v>209</v>
      </c>
    </row>
    <row r="208" spans="6:7" x14ac:dyDescent="0.2">
      <c r="F208" s="274">
        <v>42217</v>
      </c>
      <c r="G208" s="273">
        <v>210</v>
      </c>
    </row>
    <row r="209" spans="6:7" x14ac:dyDescent="0.2">
      <c r="F209" s="274">
        <v>42248</v>
      </c>
      <c r="G209" s="273">
        <v>211</v>
      </c>
    </row>
    <row r="210" spans="6:7" x14ac:dyDescent="0.2">
      <c r="F210" s="274">
        <v>42278</v>
      </c>
      <c r="G210" s="273">
        <v>212</v>
      </c>
    </row>
    <row r="211" spans="6:7" x14ac:dyDescent="0.2">
      <c r="F211" s="274">
        <v>42309</v>
      </c>
      <c r="G211" s="273">
        <v>213</v>
      </c>
    </row>
    <row r="212" spans="6:7" x14ac:dyDescent="0.2">
      <c r="F212" s="274">
        <v>42339</v>
      </c>
      <c r="G212" s="273">
        <v>214</v>
      </c>
    </row>
    <row r="213" spans="6:7" x14ac:dyDescent="0.2">
      <c r="F213" s="274">
        <v>42370</v>
      </c>
      <c r="G213" s="273">
        <v>215</v>
      </c>
    </row>
    <row r="214" spans="6:7" x14ac:dyDescent="0.2">
      <c r="F214" s="274">
        <v>42401</v>
      </c>
      <c r="G214" s="273">
        <v>216</v>
      </c>
    </row>
    <row r="215" spans="6:7" x14ac:dyDescent="0.2">
      <c r="F215" s="274">
        <v>42430</v>
      </c>
      <c r="G215" s="273">
        <v>217</v>
      </c>
    </row>
    <row r="216" spans="6:7" x14ac:dyDescent="0.2">
      <c r="F216" s="274">
        <v>42461</v>
      </c>
      <c r="G216" s="273">
        <v>218</v>
      </c>
    </row>
    <row r="217" spans="6:7" x14ac:dyDescent="0.2">
      <c r="F217" s="274">
        <v>42491</v>
      </c>
      <c r="G217" s="273">
        <v>219</v>
      </c>
    </row>
    <row r="218" spans="6:7" x14ac:dyDescent="0.2">
      <c r="F218" s="274">
        <v>42522</v>
      </c>
      <c r="G218" s="273">
        <v>220</v>
      </c>
    </row>
    <row r="219" spans="6:7" x14ac:dyDescent="0.2">
      <c r="F219" s="274">
        <v>42552</v>
      </c>
      <c r="G219" s="273">
        <v>221</v>
      </c>
    </row>
    <row r="220" spans="6:7" x14ac:dyDescent="0.2">
      <c r="F220" s="274">
        <v>42583</v>
      </c>
      <c r="G220" s="273">
        <v>222</v>
      </c>
    </row>
    <row r="221" spans="6:7" x14ac:dyDescent="0.2">
      <c r="F221" s="274">
        <v>42614</v>
      </c>
      <c r="G221" s="273">
        <v>223</v>
      </c>
    </row>
    <row r="222" spans="6:7" x14ac:dyDescent="0.2">
      <c r="F222" s="274">
        <v>42644</v>
      </c>
      <c r="G222" s="273">
        <v>224</v>
      </c>
    </row>
    <row r="223" spans="6:7" x14ac:dyDescent="0.2">
      <c r="F223" s="274">
        <v>42675</v>
      </c>
      <c r="G223" s="273">
        <v>225</v>
      </c>
    </row>
    <row r="224" spans="6:7" x14ac:dyDescent="0.2">
      <c r="F224" s="274">
        <v>42705</v>
      </c>
      <c r="G224" s="273">
        <v>226</v>
      </c>
    </row>
    <row r="225" spans="6:7" x14ac:dyDescent="0.2">
      <c r="F225" s="274">
        <v>42736</v>
      </c>
      <c r="G225" s="273">
        <v>227</v>
      </c>
    </row>
    <row r="226" spans="6:7" x14ac:dyDescent="0.2">
      <c r="F226" s="274">
        <v>42767</v>
      </c>
      <c r="G226" s="273">
        <v>228</v>
      </c>
    </row>
    <row r="227" spans="6:7" x14ac:dyDescent="0.2">
      <c r="F227" s="274">
        <v>42795</v>
      </c>
      <c r="G227" s="273">
        <v>229</v>
      </c>
    </row>
    <row r="228" spans="6:7" x14ac:dyDescent="0.2">
      <c r="F228" s="274">
        <v>42826</v>
      </c>
      <c r="G228" s="273">
        <v>230</v>
      </c>
    </row>
    <row r="229" spans="6:7" x14ac:dyDescent="0.2">
      <c r="F229" s="274">
        <v>42856</v>
      </c>
      <c r="G229" s="273">
        <v>231</v>
      </c>
    </row>
    <row r="230" spans="6:7" x14ac:dyDescent="0.2">
      <c r="F230" s="274">
        <v>42887</v>
      </c>
      <c r="G230" s="273">
        <v>232</v>
      </c>
    </row>
    <row r="231" spans="6:7" x14ac:dyDescent="0.2">
      <c r="F231" s="274">
        <v>42917</v>
      </c>
      <c r="G231" s="273">
        <v>233</v>
      </c>
    </row>
    <row r="232" spans="6:7" x14ac:dyDescent="0.2">
      <c r="F232" s="274">
        <v>42948</v>
      </c>
      <c r="G232" s="273">
        <v>234</v>
      </c>
    </row>
    <row r="233" spans="6:7" x14ac:dyDescent="0.2">
      <c r="F233" s="274">
        <v>42979</v>
      </c>
      <c r="G233" s="273">
        <v>235</v>
      </c>
    </row>
    <row r="234" spans="6:7" x14ac:dyDescent="0.2">
      <c r="F234" s="274">
        <v>43009</v>
      </c>
      <c r="G234" s="273">
        <v>236</v>
      </c>
    </row>
    <row r="235" spans="6:7" x14ac:dyDescent="0.2">
      <c r="F235" s="274">
        <v>43040</v>
      </c>
      <c r="G235" s="273">
        <v>237</v>
      </c>
    </row>
    <row r="236" spans="6:7" x14ac:dyDescent="0.2">
      <c r="F236" s="274">
        <v>43070</v>
      </c>
      <c r="G236" s="273">
        <v>238</v>
      </c>
    </row>
    <row r="237" spans="6:7" x14ac:dyDescent="0.2">
      <c r="F237" s="274">
        <v>43101</v>
      </c>
      <c r="G237" s="273">
        <v>239</v>
      </c>
    </row>
    <row r="238" spans="6:7" x14ac:dyDescent="0.2">
      <c r="F238" s="274">
        <v>43132</v>
      </c>
      <c r="G238" s="273">
        <v>240</v>
      </c>
    </row>
    <row r="239" spans="6:7" x14ac:dyDescent="0.2">
      <c r="F239" s="274">
        <v>43160</v>
      </c>
      <c r="G239" s="273">
        <v>241</v>
      </c>
    </row>
    <row r="240" spans="6:7" x14ac:dyDescent="0.2">
      <c r="F240" s="274">
        <v>43191</v>
      </c>
      <c r="G240" s="273">
        <v>242</v>
      </c>
    </row>
    <row r="241" spans="6:7" x14ac:dyDescent="0.2">
      <c r="F241" s="274">
        <v>43221</v>
      </c>
      <c r="G241" s="273">
        <v>243</v>
      </c>
    </row>
    <row r="242" spans="6:7" x14ac:dyDescent="0.2">
      <c r="F242" s="274">
        <v>43252</v>
      </c>
      <c r="G242" s="273">
        <v>244</v>
      </c>
    </row>
    <row r="243" spans="6:7" x14ac:dyDescent="0.2">
      <c r="F243" s="274">
        <v>43282</v>
      </c>
      <c r="G243" s="273">
        <v>245</v>
      </c>
    </row>
    <row r="244" spans="6:7" x14ac:dyDescent="0.2">
      <c r="F244" s="274">
        <v>43313</v>
      </c>
      <c r="G244" s="273">
        <v>246</v>
      </c>
    </row>
    <row r="245" spans="6:7" x14ac:dyDescent="0.2">
      <c r="F245" s="274">
        <v>43344</v>
      </c>
      <c r="G245" s="273">
        <v>247</v>
      </c>
    </row>
    <row r="246" spans="6:7" x14ac:dyDescent="0.2">
      <c r="F246" s="274">
        <v>43374</v>
      </c>
      <c r="G246" s="273">
        <v>248</v>
      </c>
    </row>
    <row r="247" spans="6:7" x14ac:dyDescent="0.2">
      <c r="F247" s="274">
        <v>43405</v>
      </c>
      <c r="G247" s="273">
        <v>249</v>
      </c>
    </row>
    <row r="248" spans="6:7" x14ac:dyDescent="0.2">
      <c r="F248" s="274">
        <v>43435</v>
      </c>
      <c r="G248" s="273">
        <v>250</v>
      </c>
    </row>
    <row r="249" spans="6:7" x14ac:dyDescent="0.2">
      <c r="F249" s="274">
        <v>43466</v>
      </c>
      <c r="G249" s="273">
        <v>251</v>
      </c>
    </row>
    <row r="250" spans="6:7" x14ac:dyDescent="0.2">
      <c r="F250" s="274">
        <v>43497</v>
      </c>
      <c r="G250" s="273">
        <v>252</v>
      </c>
    </row>
    <row r="251" spans="6:7" x14ac:dyDescent="0.2">
      <c r="F251" s="274">
        <v>43525</v>
      </c>
      <c r="G251" s="273">
        <v>253</v>
      </c>
    </row>
    <row r="252" spans="6:7" x14ac:dyDescent="0.2">
      <c r="F252" s="274">
        <v>43556</v>
      </c>
      <c r="G252" s="273">
        <v>254</v>
      </c>
    </row>
    <row r="253" spans="6:7" x14ac:dyDescent="0.2">
      <c r="F253" s="274">
        <v>43586</v>
      </c>
      <c r="G253" s="273">
        <v>255</v>
      </c>
    </row>
    <row r="254" spans="6:7" x14ac:dyDescent="0.2">
      <c r="F254" s="274">
        <v>43617</v>
      </c>
      <c r="G254" s="273">
        <v>256</v>
      </c>
    </row>
    <row r="255" spans="6:7" x14ac:dyDescent="0.2">
      <c r="F255" s="274">
        <v>43647</v>
      </c>
      <c r="G255" s="273">
        <v>257</v>
      </c>
    </row>
    <row r="256" spans="6:7" x14ac:dyDescent="0.2">
      <c r="F256" s="274">
        <v>43678</v>
      </c>
      <c r="G256" s="273">
        <v>258</v>
      </c>
    </row>
    <row r="257" spans="6:7" x14ac:dyDescent="0.2">
      <c r="F257" s="274">
        <v>43709</v>
      </c>
      <c r="G257" s="273">
        <v>259</v>
      </c>
    </row>
    <row r="258" spans="6:7" x14ac:dyDescent="0.2">
      <c r="F258" s="274">
        <v>43739</v>
      </c>
      <c r="G258" s="273">
        <v>260</v>
      </c>
    </row>
    <row r="259" spans="6:7" x14ac:dyDescent="0.2">
      <c r="F259" s="274">
        <v>43770</v>
      </c>
      <c r="G259" s="273">
        <v>261</v>
      </c>
    </row>
    <row r="260" spans="6:7" x14ac:dyDescent="0.2">
      <c r="F260" s="274">
        <v>43800</v>
      </c>
      <c r="G260" s="273">
        <v>262</v>
      </c>
    </row>
    <row r="261" spans="6:7" x14ac:dyDescent="0.2">
      <c r="F261" s="274">
        <v>43831</v>
      </c>
      <c r="G261" s="273">
        <f>G260+1</f>
        <v>263</v>
      </c>
    </row>
    <row r="262" spans="6:7" x14ac:dyDescent="0.2">
      <c r="F262" s="274">
        <v>43862</v>
      </c>
      <c r="G262" s="273">
        <f t="shared" ref="G262:G308" si="0">G261+1</f>
        <v>264</v>
      </c>
    </row>
    <row r="263" spans="6:7" x14ac:dyDescent="0.2">
      <c r="F263" s="274">
        <v>43891</v>
      </c>
      <c r="G263" s="273">
        <f t="shared" si="0"/>
        <v>265</v>
      </c>
    </row>
    <row r="264" spans="6:7" x14ac:dyDescent="0.2">
      <c r="F264" s="274">
        <v>43922</v>
      </c>
      <c r="G264" s="273">
        <f t="shared" si="0"/>
        <v>266</v>
      </c>
    </row>
    <row r="265" spans="6:7" x14ac:dyDescent="0.2">
      <c r="F265" s="274">
        <v>43952</v>
      </c>
      <c r="G265" s="273">
        <f t="shared" si="0"/>
        <v>267</v>
      </c>
    </row>
    <row r="266" spans="6:7" x14ac:dyDescent="0.2">
      <c r="F266" s="274">
        <v>43983</v>
      </c>
      <c r="G266" s="273">
        <f t="shared" si="0"/>
        <v>268</v>
      </c>
    </row>
    <row r="267" spans="6:7" x14ac:dyDescent="0.2">
      <c r="F267" s="274">
        <v>44013</v>
      </c>
      <c r="G267" s="273">
        <f t="shared" si="0"/>
        <v>269</v>
      </c>
    </row>
    <row r="268" spans="6:7" x14ac:dyDescent="0.2">
      <c r="F268" s="274">
        <v>44044</v>
      </c>
      <c r="G268" s="273">
        <f t="shared" si="0"/>
        <v>270</v>
      </c>
    </row>
    <row r="269" spans="6:7" x14ac:dyDescent="0.2">
      <c r="F269" s="274">
        <v>44075</v>
      </c>
      <c r="G269" s="273">
        <f t="shared" si="0"/>
        <v>271</v>
      </c>
    </row>
    <row r="270" spans="6:7" x14ac:dyDescent="0.2">
      <c r="F270" s="274">
        <v>44105</v>
      </c>
      <c r="G270" s="273">
        <f t="shared" si="0"/>
        <v>272</v>
      </c>
    </row>
    <row r="271" spans="6:7" x14ac:dyDescent="0.2">
      <c r="F271" s="274">
        <v>44136</v>
      </c>
      <c r="G271" s="273">
        <f t="shared" si="0"/>
        <v>273</v>
      </c>
    </row>
    <row r="272" spans="6:7" x14ac:dyDescent="0.2">
      <c r="F272" s="274">
        <v>44166</v>
      </c>
      <c r="G272" s="273">
        <f t="shared" si="0"/>
        <v>274</v>
      </c>
    </row>
    <row r="273" spans="6:7" x14ac:dyDescent="0.2">
      <c r="F273" s="274">
        <v>44197</v>
      </c>
      <c r="G273" s="273">
        <f t="shared" si="0"/>
        <v>275</v>
      </c>
    </row>
    <row r="274" spans="6:7" x14ac:dyDescent="0.2">
      <c r="F274" s="274">
        <v>44228</v>
      </c>
      <c r="G274" s="273">
        <f t="shared" si="0"/>
        <v>276</v>
      </c>
    </row>
    <row r="275" spans="6:7" x14ac:dyDescent="0.2">
      <c r="F275" s="274">
        <v>44256</v>
      </c>
      <c r="G275" s="273">
        <f t="shared" si="0"/>
        <v>277</v>
      </c>
    </row>
    <row r="276" spans="6:7" x14ac:dyDescent="0.2">
      <c r="F276" s="274">
        <v>44287</v>
      </c>
      <c r="G276" s="273">
        <f t="shared" si="0"/>
        <v>278</v>
      </c>
    </row>
    <row r="277" spans="6:7" x14ac:dyDescent="0.2">
      <c r="F277" s="274">
        <v>44317</v>
      </c>
      <c r="G277" s="273">
        <f t="shared" si="0"/>
        <v>279</v>
      </c>
    </row>
    <row r="278" spans="6:7" x14ac:dyDescent="0.2">
      <c r="F278" s="274">
        <v>44348</v>
      </c>
      <c r="G278" s="273">
        <f t="shared" si="0"/>
        <v>280</v>
      </c>
    </row>
    <row r="279" spans="6:7" x14ac:dyDescent="0.2">
      <c r="F279" s="274">
        <v>44378</v>
      </c>
      <c r="G279" s="273">
        <f t="shared" si="0"/>
        <v>281</v>
      </c>
    </row>
    <row r="280" spans="6:7" x14ac:dyDescent="0.2">
      <c r="F280" s="274">
        <v>44409</v>
      </c>
      <c r="G280" s="273">
        <f t="shared" si="0"/>
        <v>282</v>
      </c>
    </row>
    <row r="281" spans="6:7" x14ac:dyDescent="0.2">
      <c r="F281" s="274">
        <v>44440</v>
      </c>
      <c r="G281" s="273">
        <f t="shared" si="0"/>
        <v>283</v>
      </c>
    </row>
    <row r="282" spans="6:7" x14ac:dyDescent="0.2">
      <c r="F282" s="274">
        <v>44470</v>
      </c>
      <c r="G282" s="273">
        <f t="shared" si="0"/>
        <v>284</v>
      </c>
    </row>
    <row r="283" spans="6:7" x14ac:dyDescent="0.2">
      <c r="F283" s="274">
        <v>44501</v>
      </c>
      <c r="G283" s="273">
        <f t="shared" si="0"/>
        <v>285</v>
      </c>
    </row>
    <row r="284" spans="6:7" x14ac:dyDescent="0.2">
      <c r="F284" s="274">
        <v>44531</v>
      </c>
      <c r="G284" s="273">
        <f t="shared" si="0"/>
        <v>286</v>
      </c>
    </row>
    <row r="285" spans="6:7" x14ac:dyDescent="0.2">
      <c r="F285" s="274">
        <v>44562</v>
      </c>
      <c r="G285" s="273">
        <f t="shared" si="0"/>
        <v>287</v>
      </c>
    </row>
    <row r="286" spans="6:7" x14ac:dyDescent="0.2">
      <c r="F286" s="274">
        <v>44593</v>
      </c>
      <c r="G286" s="273">
        <f t="shared" si="0"/>
        <v>288</v>
      </c>
    </row>
    <row r="287" spans="6:7" x14ac:dyDescent="0.2">
      <c r="F287" s="274">
        <v>44621</v>
      </c>
      <c r="G287" s="273">
        <f t="shared" si="0"/>
        <v>289</v>
      </c>
    </row>
    <row r="288" spans="6:7" x14ac:dyDescent="0.2">
      <c r="F288" s="274">
        <v>44652</v>
      </c>
      <c r="G288" s="273">
        <f t="shared" si="0"/>
        <v>290</v>
      </c>
    </row>
    <row r="289" spans="6:7" x14ac:dyDescent="0.2">
      <c r="F289" s="274">
        <v>44682</v>
      </c>
      <c r="G289" s="273">
        <f t="shared" si="0"/>
        <v>291</v>
      </c>
    </row>
    <row r="290" spans="6:7" x14ac:dyDescent="0.2">
      <c r="F290" s="274">
        <v>44713</v>
      </c>
      <c r="G290" s="273">
        <f t="shared" si="0"/>
        <v>292</v>
      </c>
    </row>
    <row r="291" spans="6:7" x14ac:dyDescent="0.2">
      <c r="F291" s="274">
        <v>44743</v>
      </c>
      <c r="G291" s="273">
        <f t="shared" si="0"/>
        <v>293</v>
      </c>
    </row>
    <row r="292" spans="6:7" x14ac:dyDescent="0.2">
      <c r="F292" s="274">
        <v>44774</v>
      </c>
      <c r="G292" s="273">
        <f t="shared" si="0"/>
        <v>294</v>
      </c>
    </row>
    <row r="293" spans="6:7" x14ac:dyDescent="0.2">
      <c r="F293" s="274">
        <v>44805</v>
      </c>
      <c r="G293" s="273">
        <f t="shared" si="0"/>
        <v>295</v>
      </c>
    </row>
    <row r="294" spans="6:7" x14ac:dyDescent="0.2">
      <c r="F294" s="274">
        <v>44835</v>
      </c>
      <c r="G294" s="273">
        <f t="shared" si="0"/>
        <v>296</v>
      </c>
    </row>
    <row r="295" spans="6:7" x14ac:dyDescent="0.2">
      <c r="F295" s="274">
        <v>44866</v>
      </c>
      <c r="G295" s="273">
        <f t="shared" si="0"/>
        <v>297</v>
      </c>
    </row>
    <row r="296" spans="6:7" x14ac:dyDescent="0.2">
      <c r="F296" s="274">
        <v>44896</v>
      </c>
      <c r="G296" s="273">
        <f t="shared" si="0"/>
        <v>298</v>
      </c>
    </row>
    <row r="297" spans="6:7" x14ac:dyDescent="0.2">
      <c r="F297" s="274">
        <v>44927</v>
      </c>
      <c r="G297" s="273">
        <f t="shared" si="0"/>
        <v>299</v>
      </c>
    </row>
    <row r="298" spans="6:7" x14ac:dyDescent="0.2">
      <c r="F298" s="274">
        <v>44958</v>
      </c>
      <c r="G298" s="273">
        <f t="shared" si="0"/>
        <v>300</v>
      </c>
    </row>
    <row r="299" spans="6:7" x14ac:dyDescent="0.2">
      <c r="F299" s="274">
        <v>44986</v>
      </c>
      <c r="G299" s="273">
        <f t="shared" si="0"/>
        <v>301</v>
      </c>
    </row>
    <row r="300" spans="6:7" x14ac:dyDescent="0.2">
      <c r="F300" s="274">
        <v>45017</v>
      </c>
      <c r="G300" s="273">
        <f t="shared" si="0"/>
        <v>302</v>
      </c>
    </row>
    <row r="301" spans="6:7" x14ac:dyDescent="0.2">
      <c r="F301" s="274">
        <v>45047</v>
      </c>
      <c r="G301" s="273">
        <f t="shared" si="0"/>
        <v>303</v>
      </c>
    </row>
    <row r="302" spans="6:7" x14ac:dyDescent="0.2">
      <c r="F302" s="274">
        <v>45078</v>
      </c>
      <c r="G302" s="273">
        <f t="shared" si="0"/>
        <v>304</v>
      </c>
    </row>
    <row r="303" spans="6:7" x14ac:dyDescent="0.2">
      <c r="F303" s="274">
        <v>45108</v>
      </c>
      <c r="G303" s="273">
        <f t="shared" si="0"/>
        <v>305</v>
      </c>
    </row>
    <row r="304" spans="6:7" x14ac:dyDescent="0.2">
      <c r="F304" s="274">
        <v>45139</v>
      </c>
      <c r="G304" s="273">
        <f t="shared" si="0"/>
        <v>306</v>
      </c>
    </row>
    <row r="305" spans="6:7" x14ac:dyDescent="0.2">
      <c r="F305" s="274">
        <v>45170</v>
      </c>
      <c r="G305" s="273">
        <f t="shared" si="0"/>
        <v>307</v>
      </c>
    </row>
    <row r="306" spans="6:7" x14ac:dyDescent="0.2">
      <c r="F306" s="274">
        <v>45200</v>
      </c>
      <c r="G306" s="273">
        <f t="shared" si="0"/>
        <v>308</v>
      </c>
    </row>
    <row r="307" spans="6:7" x14ac:dyDescent="0.2">
      <c r="F307" s="274">
        <v>45231</v>
      </c>
      <c r="G307" s="273">
        <f t="shared" si="0"/>
        <v>309</v>
      </c>
    </row>
    <row r="308" spans="6:7" x14ac:dyDescent="0.2">
      <c r="F308" s="274">
        <v>45261</v>
      </c>
      <c r="G308" s="273">
        <f t="shared" si="0"/>
        <v>310</v>
      </c>
    </row>
  </sheetData>
  <mergeCells count="1">
    <mergeCell ref="F1:G1"/>
  </mergeCells>
  <phoneticPr fontId="2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4">
    <tabColor theme="4" tint="0.39997558519241921"/>
    <pageSetUpPr fitToPage="1"/>
  </sheetPr>
  <dimension ref="A1:AR197"/>
  <sheetViews>
    <sheetView tabSelected="1" zoomScale="90" workbookViewId="0">
      <pane ySplit="4" topLeftCell="A5" activePane="bottomLeft" state="frozen"/>
      <selection activeCell="F12" sqref="F12"/>
      <selection pane="bottomLeft" activeCell="B4" sqref="B4"/>
    </sheetView>
  </sheetViews>
  <sheetFormatPr defaultColWidth="9.109375" defaultRowHeight="12.6" x14ac:dyDescent="0.2"/>
  <cols>
    <col min="1" max="1" width="14.44140625" style="10" customWidth="1"/>
    <col min="2" max="2" width="18.5546875" style="10" customWidth="1"/>
    <col min="3" max="3" width="16.44140625" style="10" hidden="1" customWidth="1"/>
    <col min="4" max="4" width="15" style="10" hidden="1" customWidth="1"/>
    <col min="5" max="5" width="1.44140625" style="10" hidden="1" customWidth="1"/>
    <col min="6" max="6" width="15.5546875" style="10" hidden="1" customWidth="1"/>
    <col min="7" max="13" width="15.109375" style="10" hidden="1" customWidth="1"/>
    <col min="14" max="14" width="17.5546875" style="10" hidden="1" customWidth="1"/>
    <col min="15" max="16" width="22.6640625" style="10" hidden="1" customWidth="1"/>
    <col min="17" max="17" width="19.33203125" style="10" hidden="1" customWidth="1"/>
    <col min="18" max="21" width="15.109375" style="10" hidden="1" customWidth="1"/>
    <col min="22" max="22" width="1.6640625" style="10" hidden="1" customWidth="1"/>
    <col min="23" max="23" width="11.6640625" style="10" hidden="1" customWidth="1"/>
    <col min="24" max="24" width="14.109375" style="10" bestFit="1" customWidth="1"/>
    <col min="25" max="26" width="14.109375" style="10" customWidth="1"/>
    <col min="27" max="28" width="17.109375" style="10" customWidth="1"/>
    <col min="29" max="36" width="9.109375" style="10"/>
    <col min="37" max="37" width="9.6640625" style="10" bestFit="1" customWidth="1"/>
    <col min="38" max="38" width="16.109375" style="10" customWidth="1"/>
    <col min="39" max="39" width="13.88671875" style="10" bestFit="1" customWidth="1"/>
    <col min="40" max="40" width="11.109375" style="10" bestFit="1" customWidth="1"/>
    <col min="41" max="41" width="20.6640625" style="10" customWidth="1"/>
    <col min="42" max="16384" width="9.109375" style="10"/>
  </cols>
  <sheetData>
    <row r="1" spans="1:44" ht="31.8" x14ac:dyDescent="0.2">
      <c r="A1" s="262"/>
      <c r="B1" s="355" t="s">
        <v>75</v>
      </c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5"/>
      <c r="Z1" s="355"/>
      <c r="AA1" s="355"/>
      <c r="AB1" s="355"/>
    </row>
    <row r="2" spans="1:44" ht="31.8" x14ac:dyDescent="0.2">
      <c r="A2" s="26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</row>
    <row r="3" spans="1:44" ht="16.8" thickBot="1" x14ac:dyDescent="0.35">
      <c r="B3" s="358" t="s">
        <v>70</v>
      </c>
      <c r="C3" s="359"/>
      <c r="D3" s="360"/>
      <c r="E3" s="12"/>
      <c r="F3" s="361" t="s">
        <v>117</v>
      </c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3"/>
      <c r="V3" s="13"/>
      <c r="W3" s="356" t="s">
        <v>74</v>
      </c>
      <c r="X3" s="357"/>
      <c r="Y3" s="357"/>
      <c r="Z3" s="357"/>
      <c r="AA3" s="357"/>
      <c r="AB3" s="357"/>
    </row>
    <row r="4" spans="1:44" ht="50.25" customHeight="1" thickBot="1" x14ac:dyDescent="0.25">
      <c r="A4" s="14" t="s">
        <v>17</v>
      </c>
      <c r="B4" s="341" t="s">
        <v>71</v>
      </c>
      <c r="C4" s="15" t="s">
        <v>72</v>
      </c>
      <c r="D4" s="15" t="s">
        <v>73</v>
      </c>
      <c r="E4" s="9"/>
      <c r="F4" s="340" t="s">
        <v>23</v>
      </c>
      <c r="G4" s="15" t="s">
        <v>159</v>
      </c>
      <c r="H4" s="15" t="s">
        <v>160</v>
      </c>
      <c r="I4" s="15" t="s">
        <v>161</v>
      </c>
      <c r="J4" s="15" t="s">
        <v>162</v>
      </c>
      <c r="K4" s="15" t="s">
        <v>163</v>
      </c>
      <c r="L4" s="15" t="s">
        <v>164</v>
      </c>
      <c r="M4" s="15" t="s">
        <v>165</v>
      </c>
      <c r="N4" s="340" t="s">
        <v>155</v>
      </c>
      <c r="O4" s="340" t="s">
        <v>156</v>
      </c>
      <c r="P4" s="340" t="s">
        <v>156</v>
      </c>
      <c r="Q4" s="15" t="s">
        <v>157</v>
      </c>
      <c r="R4" s="15" t="s">
        <v>158</v>
      </c>
      <c r="S4" s="15" t="s">
        <v>166</v>
      </c>
      <c r="T4" s="16" t="s">
        <v>167</v>
      </c>
      <c r="U4" s="16"/>
      <c r="V4" s="9"/>
      <c r="W4" s="17" t="s">
        <v>168</v>
      </c>
      <c r="X4" s="338" t="s">
        <v>172</v>
      </c>
      <c r="Y4" s="338" t="s">
        <v>169</v>
      </c>
      <c r="Z4" s="338" t="s">
        <v>171</v>
      </c>
      <c r="AA4" s="338" t="s">
        <v>170</v>
      </c>
      <c r="AB4" s="338" t="s">
        <v>171</v>
      </c>
    </row>
    <row r="5" spans="1:44" ht="18" customHeight="1" x14ac:dyDescent="0.2">
      <c r="A5" s="18">
        <v>41223</v>
      </c>
      <c r="B5" s="19"/>
      <c r="C5" s="19"/>
      <c r="D5" s="336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>
        <f t="shared" ref="Z5:Z15" si="0">X5/100</f>
        <v>0</v>
      </c>
      <c r="AA5" s="19"/>
      <c r="AB5" s="19">
        <f>AA5/100</f>
        <v>0</v>
      </c>
      <c r="AC5" s="20"/>
      <c r="AD5" s="21"/>
    </row>
    <row r="6" spans="1:44" ht="18" customHeight="1" x14ac:dyDescent="0.2">
      <c r="A6" s="22">
        <v>41244</v>
      </c>
      <c r="B6" s="23"/>
      <c r="C6" s="23"/>
      <c r="D6" s="337"/>
      <c r="E6" s="23"/>
      <c r="F6" s="24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>
        <f t="shared" si="0"/>
        <v>0</v>
      </c>
      <c r="AA6" s="23"/>
      <c r="AB6" s="23">
        <f>AA6/100</f>
        <v>0</v>
      </c>
    </row>
    <row r="7" spans="1:44" ht="18" customHeight="1" x14ac:dyDescent="0.2">
      <c r="A7" s="22">
        <v>41275</v>
      </c>
      <c r="B7" s="23"/>
      <c r="C7" s="23"/>
      <c r="D7" s="337"/>
      <c r="E7" s="23"/>
      <c r="F7" s="24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>
        <f t="shared" si="0"/>
        <v>0</v>
      </c>
      <c r="AA7" s="23"/>
      <c r="AB7" s="23">
        <f t="shared" ref="AB7:AB42" si="1">AA7/100</f>
        <v>0</v>
      </c>
    </row>
    <row r="8" spans="1:44" ht="18" customHeight="1" x14ac:dyDescent="0.2">
      <c r="A8" s="22">
        <v>41306</v>
      </c>
      <c r="B8" s="23"/>
      <c r="C8" s="23"/>
      <c r="D8" s="337"/>
      <c r="E8" s="23"/>
      <c r="F8" s="24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>
        <f t="shared" si="0"/>
        <v>0</v>
      </c>
      <c r="AA8" s="23"/>
      <c r="AB8" s="23">
        <f t="shared" si="1"/>
        <v>0</v>
      </c>
    </row>
    <row r="9" spans="1:44" ht="18" customHeight="1" x14ac:dyDescent="0.2">
      <c r="A9" s="22">
        <v>41334</v>
      </c>
      <c r="B9" s="23"/>
      <c r="C9" s="23"/>
      <c r="D9" s="337"/>
      <c r="E9" s="23"/>
      <c r="F9" s="24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>
        <f t="shared" si="0"/>
        <v>0</v>
      </c>
      <c r="AA9" s="23"/>
      <c r="AB9" s="23">
        <f t="shared" si="1"/>
        <v>0</v>
      </c>
    </row>
    <row r="10" spans="1:44" ht="18" customHeight="1" x14ac:dyDescent="0.2">
      <c r="A10" s="22">
        <v>41365</v>
      </c>
      <c r="B10" s="23"/>
      <c r="C10" s="23"/>
      <c r="D10" s="337"/>
      <c r="E10" s="23"/>
      <c r="F10" s="24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>
        <f t="shared" si="0"/>
        <v>0</v>
      </c>
      <c r="AA10" s="23"/>
      <c r="AB10" s="23">
        <f t="shared" si="1"/>
        <v>0</v>
      </c>
    </row>
    <row r="11" spans="1:44" ht="18" customHeight="1" x14ac:dyDescent="0.2">
      <c r="A11" s="22">
        <v>41395</v>
      </c>
      <c r="B11" s="23"/>
      <c r="C11" s="23"/>
      <c r="D11" s="337"/>
      <c r="E11" s="23"/>
      <c r="F11" s="24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>
        <f t="shared" si="0"/>
        <v>0</v>
      </c>
      <c r="AA11" s="23"/>
      <c r="AB11" s="23">
        <f t="shared" si="1"/>
        <v>0</v>
      </c>
      <c r="AK11" s="25"/>
      <c r="AL11" s="26"/>
      <c r="AM11" s="26"/>
      <c r="AN11" s="27"/>
    </row>
    <row r="12" spans="1:44" ht="18" customHeight="1" x14ac:dyDescent="0.2">
      <c r="A12" s="22">
        <v>41426</v>
      </c>
      <c r="B12" s="23"/>
      <c r="C12" s="23"/>
      <c r="D12" s="337"/>
      <c r="E12" s="23"/>
      <c r="F12" s="24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>
        <f t="shared" si="0"/>
        <v>0</v>
      </c>
      <c r="AA12" s="23"/>
      <c r="AB12" s="23">
        <f t="shared" si="1"/>
        <v>0</v>
      </c>
      <c r="AK12" s="28"/>
      <c r="AL12" s="29"/>
      <c r="AM12" s="30"/>
      <c r="AN12" s="31"/>
      <c r="AO12" s="32"/>
    </row>
    <row r="13" spans="1:44" ht="18" customHeight="1" x14ac:dyDescent="0.2">
      <c r="A13" s="22">
        <v>41456</v>
      </c>
      <c r="B13" s="23"/>
      <c r="C13" s="23"/>
      <c r="D13" s="337"/>
      <c r="E13" s="23"/>
      <c r="F13" s="24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>
        <f t="shared" si="0"/>
        <v>0</v>
      </c>
      <c r="AA13" s="23"/>
      <c r="AB13" s="23">
        <f t="shared" si="1"/>
        <v>0</v>
      </c>
      <c r="AK13" s="33"/>
      <c r="AL13" s="34"/>
      <c r="AM13" s="34"/>
      <c r="AN13" s="34"/>
      <c r="AO13" s="34"/>
      <c r="AP13" s="34"/>
      <c r="AQ13" s="34"/>
      <c r="AR13" s="34"/>
    </row>
    <row r="14" spans="1:44" ht="18" customHeight="1" x14ac:dyDescent="0.2">
      <c r="A14" s="22">
        <v>41487</v>
      </c>
      <c r="B14" s="23"/>
      <c r="C14" s="23"/>
      <c r="D14" s="337"/>
      <c r="E14" s="23"/>
      <c r="F14" s="24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>
        <f t="shared" si="0"/>
        <v>0</v>
      </c>
      <c r="AA14" s="23"/>
      <c r="AB14" s="23">
        <f t="shared" si="1"/>
        <v>0</v>
      </c>
      <c r="AK14" s="33"/>
      <c r="AL14" s="34"/>
      <c r="AM14" s="34"/>
      <c r="AN14" s="34"/>
      <c r="AO14" s="34"/>
      <c r="AP14" s="34"/>
      <c r="AQ14" s="34"/>
      <c r="AR14" s="34"/>
    </row>
    <row r="15" spans="1:44" ht="18" customHeight="1" x14ac:dyDescent="0.2">
      <c r="A15" s="22">
        <v>41518</v>
      </c>
      <c r="B15" s="23">
        <v>1646.14</v>
      </c>
      <c r="C15" s="23"/>
      <c r="D15" s="337"/>
      <c r="E15" s="23"/>
      <c r="F15" s="24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>
        <f t="shared" si="0"/>
        <v>0</v>
      </c>
      <c r="AA15" s="23"/>
      <c r="AB15" s="23">
        <f t="shared" si="1"/>
        <v>0</v>
      </c>
      <c r="AK15" s="33"/>
      <c r="AL15" s="34"/>
      <c r="AM15" s="34"/>
      <c r="AN15" s="34"/>
      <c r="AO15" s="34"/>
      <c r="AP15" s="34"/>
      <c r="AQ15" s="34"/>
      <c r="AR15" s="34"/>
    </row>
    <row r="16" spans="1:44" ht="18" customHeight="1" x14ac:dyDescent="0.2">
      <c r="A16" s="22">
        <v>41548</v>
      </c>
      <c r="B16" s="23">
        <v>2515.4699999999998</v>
      </c>
      <c r="C16" s="23"/>
      <c r="D16" s="337"/>
      <c r="E16" s="23"/>
      <c r="F16" s="24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>
        <v>798.81</v>
      </c>
      <c r="Y16" s="23"/>
      <c r="Z16" s="23">
        <f>Y16/100</f>
        <v>0</v>
      </c>
      <c r="AA16" s="23">
        <v>7.59</v>
      </c>
      <c r="AB16" s="23">
        <f t="shared" si="1"/>
        <v>0.08</v>
      </c>
      <c r="AK16" s="33"/>
      <c r="AL16" s="34"/>
      <c r="AM16" s="34"/>
      <c r="AN16" s="34"/>
      <c r="AO16" s="34"/>
      <c r="AP16" s="34"/>
      <c r="AQ16" s="34"/>
      <c r="AR16" s="34"/>
    </row>
    <row r="17" spans="1:44" ht="18" customHeight="1" x14ac:dyDescent="0.2">
      <c r="A17" s="22">
        <v>41579</v>
      </c>
      <c r="B17" s="23">
        <v>2856.38</v>
      </c>
      <c r="C17" s="23"/>
      <c r="D17" s="337"/>
      <c r="E17" s="23"/>
      <c r="F17" s="24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>
        <v>958.8</v>
      </c>
      <c r="Y17" s="23">
        <v>843</v>
      </c>
      <c r="Z17" s="23">
        <f t="shared" ref="Z17:Z42" si="2">Y17/100</f>
        <v>8.43</v>
      </c>
      <c r="AA17" s="23">
        <v>3.25</v>
      </c>
      <c r="AB17" s="23">
        <f t="shared" si="1"/>
        <v>0.03</v>
      </c>
      <c r="AK17" s="33"/>
      <c r="AL17" s="34"/>
      <c r="AM17" s="34"/>
      <c r="AN17" s="34"/>
      <c r="AO17" s="34"/>
      <c r="AP17" s="34"/>
      <c r="AQ17" s="34"/>
      <c r="AR17" s="34"/>
    </row>
    <row r="18" spans="1:44" ht="18" customHeight="1" x14ac:dyDescent="0.2">
      <c r="A18" s="22">
        <v>41609</v>
      </c>
      <c r="B18" s="23">
        <v>2290.9699999999998</v>
      </c>
      <c r="C18" s="23"/>
      <c r="D18" s="337"/>
      <c r="E18" s="23"/>
      <c r="F18" s="24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>
        <v>584.92999999999995</v>
      </c>
      <c r="Y18" s="23">
        <v>2213</v>
      </c>
      <c r="Z18" s="23">
        <f t="shared" si="2"/>
        <v>22.13</v>
      </c>
      <c r="AA18" s="23">
        <v>40.26</v>
      </c>
      <c r="AB18" s="23">
        <f t="shared" si="1"/>
        <v>0.4</v>
      </c>
      <c r="AK18" s="33"/>
      <c r="AL18" s="34"/>
      <c r="AM18" s="34"/>
      <c r="AN18" s="34"/>
      <c r="AO18" s="34"/>
      <c r="AP18" s="34"/>
      <c r="AQ18" s="34"/>
      <c r="AR18" s="34"/>
    </row>
    <row r="19" spans="1:44" ht="18" customHeight="1" x14ac:dyDescent="0.2">
      <c r="A19" s="22">
        <v>41640</v>
      </c>
      <c r="B19" s="23">
        <v>3229.86</v>
      </c>
      <c r="C19" s="23"/>
      <c r="D19" s="337"/>
      <c r="E19" s="23"/>
      <c r="F19" s="24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>
        <v>760.95</v>
      </c>
      <c r="Y19" s="23">
        <v>2517</v>
      </c>
      <c r="Z19" s="23">
        <f t="shared" si="2"/>
        <v>25.17</v>
      </c>
      <c r="AA19" s="23">
        <v>5325</v>
      </c>
      <c r="AB19" s="23">
        <f t="shared" si="1"/>
        <v>53.25</v>
      </c>
      <c r="AK19" s="33"/>
      <c r="AL19" s="34"/>
      <c r="AM19" s="34"/>
      <c r="AN19" s="34"/>
      <c r="AO19" s="34"/>
      <c r="AP19" s="34"/>
      <c r="AQ19" s="34"/>
      <c r="AR19" s="34"/>
    </row>
    <row r="20" spans="1:44" ht="18" customHeight="1" x14ac:dyDescent="0.2">
      <c r="A20" s="22">
        <v>41671</v>
      </c>
      <c r="B20" s="23">
        <v>2588.64</v>
      </c>
      <c r="C20" s="23"/>
      <c r="D20" s="337"/>
      <c r="E20" s="23"/>
      <c r="F20" s="24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>
        <v>3211</v>
      </c>
      <c r="Z20" s="23">
        <f t="shared" si="2"/>
        <v>32.11</v>
      </c>
      <c r="AA20" s="23">
        <v>5156</v>
      </c>
      <c r="AB20" s="23">
        <f t="shared" si="1"/>
        <v>51.56</v>
      </c>
      <c r="AK20" s="33"/>
      <c r="AL20" s="34"/>
      <c r="AM20" s="34"/>
      <c r="AN20" s="34"/>
      <c r="AO20" s="34"/>
      <c r="AP20" s="34"/>
      <c r="AQ20" s="34"/>
      <c r="AR20" s="34"/>
    </row>
    <row r="21" spans="1:44" ht="18" customHeight="1" x14ac:dyDescent="0.2">
      <c r="A21" s="22">
        <v>41699</v>
      </c>
      <c r="B21" s="23">
        <v>2891.92</v>
      </c>
      <c r="C21" s="23"/>
      <c r="D21" s="337"/>
      <c r="E21" s="23"/>
      <c r="F21" s="24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>
        <v>629.94000000000005</v>
      </c>
      <c r="Y21" s="23">
        <v>1945</v>
      </c>
      <c r="Z21" s="23">
        <f t="shared" si="2"/>
        <v>19.45</v>
      </c>
      <c r="AA21" s="23">
        <v>4040</v>
      </c>
      <c r="AB21" s="23">
        <f t="shared" si="1"/>
        <v>40.4</v>
      </c>
      <c r="AK21" s="33"/>
      <c r="AL21" s="34"/>
      <c r="AM21" s="34"/>
      <c r="AN21" s="34"/>
      <c r="AO21" s="34"/>
      <c r="AP21" s="34"/>
      <c r="AQ21" s="34"/>
      <c r="AR21" s="34"/>
    </row>
    <row r="22" spans="1:44" ht="18" customHeight="1" x14ac:dyDescent="0.2">
      <c r="A22" s="22">
        <v>41730</v>
      </c>
      <c r="B22" s="23">
        <v>3871.15</v>
      </c>
      <c r="C22" s="23"/>
      <c r="D22" s="337"/>
      <c r="E22" s="23"/>
      <c r="F22" s="24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>
        <v>1410.76</v>
      </c>
      <c r="Y22" s="23">
        <v>2621</v>
      </c>
      <c r="Z22" s="23">
        <f t="shared" si="2"/>
        <v>26.21</v>
      </c>
      <c r="AA22" s="23">
        <v>5325</v>
      </c>
      <c r="AB22" s="23">
        <f t="shared" si="1"/>
        <v>53.25</v>
      </c>
      <c r="AK22" s="33"/>
      <c r="AL22" s="34"/>
      <c r="AM22" s="34"/>
      <c r="AN22" s="34"/>
      <c r="AO22" s="34"/>
      <c r="AP22" s="34"/>
      <c r="AQ22" s="34"/>
      <c r="AR22" s="34"/>
    </row>
    <row r="23" spans="1:44" ht="18" customHeight="1" x14ac:dyDescent="0.2">
      <c r="A23" s="22">
        <v>41760</v>
      </c>
      <c r="B23" s="23">
        <v>3713.01</v>
      </c>
      <c r="C23" s="23"/>
      <c r="D23" s="337"/>
      <c r="E23" s="23"/>
      <c r="F23" s="24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>
        <v>942.62</v>
      </c>
      <c r="Y23" s="23">
        <v>3829</v>
      </c>
      <c r="Z23" s="23">
        <f t="shared" si="2"/>
        <v>38.29</v>
      </c>
      <c r="AA23" s="23">
        <v>4837</v>
      </c>
      <c r="AB23" s="23">
        <f t="shared" si="1"/>
        <v>48.37</v>
      </c>
      <c r="AK23" s="33"/>
      <c r="AL23" s="34"/>
      <c r="AM23" s="34"/>
      <c r="AN23" s="34"/>
      <c r="AO23" s="34"/>
      <c r="AP23" s="34"/>
      <c r="AQ23" s="34"/>
      <c r="AR23" s="34"/>
    </row>
    <row r="24" spans="1:44" ht="18" customHeight="1" x14ac:dyDescent="0.2">
      <c r="A24" s="22">
        <v>41791</v>
      </c>
      <c r="B24" s="23">
        <v>3568.22</v>
      </c>
      <c r="C24" s="23"/>
      <c r="D24" s="337"/>
      <c r="E24" s="23"/>
      <c r="F24" s="24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>
        <v>1090.81</v>
      </c>
      <c r="Y24" s="23">
        <v>2712</v>
      </c>
      <c r="Z24" s="23">
        <f t="shared" si="2"/>
        <v>27.12</v>
      </c>
      <c r="AA24" s="23">
        <v>5233</v>
      </c>
      <c r="AB24" s="23">
        <f t="shared" si="1"/>
        <v>52.33</v>
      </c>
      <c r="AK24" s="33"/>
      <c r="AL24" s="34"/>
      <c r="AM24" s="34"/>
      <c r="AN24" s="34"/>
      <c r="AO24" s="34"/>
      <c r="AP24" s="34"/>
      <c r="AQ24" s="34"/>
      <c r="AR24" s="34"/>
    </row>
    <row r="25" spans="1:44" ht="18" customHeight="1" x14ac:dyDescent="0.2">
      <c r="A25" s="22">
        <v>41821</v>
      </c>
      <c r="B25" s="23">
        <v>3973.3</v>
      </c>
      <c r="C25" s="23"/>
      <c r="D25" s="337"/>
      <c r="E25" s="23"/>
      <c r="F25" s="24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>
        <v>966.37</v>
      </c>
      <c r="Y25" s="23">
        <v>3200</v>
      </c>
      <c r="Z25" s="23">
        <f t="shared" si="2"/>
        <v>32</v>
      </c>
      <c r="AA25" s="23">
        <v>4857</v>
      </c>
      <c r="AB25" s="23">
        <f t="shared" si="1"/>
        <v>48.57</v>
      </c>
      <c r="AK25" s="33"/>
      <c r="AL25" s="34"/>
      <c r="AM25" s="34"/>
      <c r="AN25" s="34"/>
      <c r="AO25" s="34"/>
      <c r="AP25" s="34"/>
      <c r="AQ25" s="34"/>
      <c r="AR25" s="34"/>
    </row>
    <row r="26" spans="1:44" ht="18" customHeight="1" x14ac:dyDescent="0.2">
      <c r="A26" s="22">
        <v>41852</v>
      </c>
      <c r="B26" s="23">
        <v>3176.02</v>
      </c>
      <c r="C26" s="23"/>
      <c r="D26" s="337"/>
      <c r="E26" s="23"/>
      <c r="F26" s="24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>
        <v>794.91</v>
      </c>
      <c r="Y26" s="23">
        <v>2009</v>
      </c>
      <c r="Z26" s="23">
        <f t="shared" si="2"/>
        <v>20.09</v>
      </c>
      <c r="AA26" s="23">
        <v>4352</v>
      </c>
      <c r="AB26" s="23">
        <f t="shared" si="1"/>
        <v>43.52</v>
      </c>
      <c r="AK26" s="33"/>
      <c r="AL26" s="34"/>
      <c r="AM26" s="34"/>
      <c r="AN26" s="34"/>
      <c r="AO26" s="34"/>
      <c r="AP26" s="34"/>
      <c r="AQ26" s="34"/>
      <c r="AR26" s="34"/>
    </row>
    <row r="27" spans="1:44" ht="18" customHeight="1" x14ac:dyDescent="0.2">
      <c r="A27" s="22">
        <v>41883</v>
      </c>
      <c r="B27" s="23">
        <v>3515.2</v>
      </c>
      <c r="C27" s="23"/>
      <c r="D27" s="337"/>
      <c r="E27" s="23"/>
      <c r="F27" s="24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>
        <v>899.46</v>
      </c>
      <c r="Y27" s="23">
        <v>2726</v>
      </c>
      <c r="Z27" s="23">
        <f t="shared" si="2"/>
        <v>27.26</v>
      </c>
      <c r="AA27" s="23">
        <v>5705</v>
      </c>
      <c r="AB27" s="23">
        <f t="shared" si="1"/>
        <v>57.05</v>
      </c>
      <c r="AK27" s="33"/>
      <c r="AL27" s="34"/>
      <c r="AM27" s="34"/>
      <c r="AN27" s="34"/>
      <c r="AO27" s="34"/>
      <c r="AP27" s="34"/>
      <c r="AQ27" s="34"/>
      <c r="AR27" s="34"/>
    </row>
    <row r="28" spans="1:44" ht="18" customHeight="1" x14ac:dyDescent="0.2">
      <c r="A28" s="22">
        <v>41913</v>
      </c>
      <c r="B28" s="23">
        <v>3561.13</v>
      </c>
      <c r="C28" s="23"/>
      <c r="D28" s="337"/>
      <c r="E28" s="23"/>
      <c r="F28" s="24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>
        <v>583.5</v>
      </c>
      <c r="Y28" s="23">
        <v>2553</v>
      </c>
      <c r="Z28" s="23">
        <f t="shared" si="2"/>
        <v>25.53</v>
      </c>
      <c r="AA28" s="23">
        <v>4843</v>
      </c>
      <c r="AB28" s="23">
        <f t="shared" si="1"/>
        <v>48.43</v>
      </c>
      <c r="AK28" s="33"/>
      <c r="AL28" s="34"/>
      <c r="AM28" s="34"/>
      <c r="AN28" s="34"/>
      <c r="AO28" s="34"/>
      <c r="AP28" s="34"/>
      <c r="AQ28" s="34"/>
      <c r="AR28" s="34"/>
    </row>
    <row r="29" spans="1:44" ht="18" customHeight="1" x14ac:dyDescent="0.2">
      <c r="A29" s="22">
        <v>41944</v>
      </c>
      <c r="B29" s="23">
        <v>3178.35</v>
      </c>
      <c r="C29" s="23"/>
      <c r="D29" s="337"/>
      <c r="E29" s="23"/>
      <c r="F29" s="24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>
        <v>786.23</v>
      </c>
      <c r="Y29" s="23">
        <v>2002</v>
      </c>
      <c r="Z29" s="23">
        <f t="shared" si="2"/>
        <v>20.02</v>
      </c>
      <c r="AA29" s="23">
        <v>4835</v>
      </c>
      <c r="AB29" s="23">
        <f t="shared" si="1"/>
        <v>48.35</v>
      </c>
      <c r="AK29" s="33"/>
      <c r="AL29" s="34"/>
      <c r="AM29" s="34"/>
      <c r="AN29" s="34"/>
      <c r="AO29" s="34"/>
      <c r="AP29" s="34"/>
      <c r="AQ29" s="34"/>
      <c r="AR29" s="34"/>
    </row>
    <row r="30" spans="1:44" ht="18" customHeight="1" x14ac:dyDescent="0.2">
      <c r="A30" s="22">
        <v>41974</v>
      </c>
      <c r="B30" s="23">
        <v>3184.44</v>
      </c>
      <c r="C30" s="23"/>
      <c r="D30" s="337"/>
      <c r="E30" s="23"/>
      <c r="F30" s="24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>
        <v>425.87</v>
      </c>
      <c r="Y30" s="23">
        <v>3239</v>
      </c>
      <c r="Z30" s="23">
        <f t="shared" si="2"/>
        <v>32.39</v>
      </c>
      <c r="AA30" s="23">
        <v>4841</v>
      </c>
      <c r="AB30" s="23">
        <f t="shared" si="1"/>
        <v>48.41</v>
      </c>
      <c r="AK30" s="33"/>
      <c r="AL30" s="34"/>
      <c r="AM30" s="34"/>
      <c r="AN30" s="34"/>
      <c r="AO30" s="34"/>
      <c r="AP30" s="34"/>
      <c r="AQ30" s="34"/>
      <c r="AR30" s="34"/>
    </row>
    <row r="31" spans="1:44" ht="18" customHeight="1" x14ac:dyDescent="0.2">
      <c r="A31" s="22">
        <v>42005</v>
      </c>
      <c r="B31" s="23">
        <v>3970.97</v>
      </c>
      <c r="C31" s="23"/>
      <c r="D31" s="337"/>
      <c r="E31" s="23"/>
      <c r="F31" s="24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>
        <v>321.77999999999997</v>
      </c>
      <c r="Y31" s="23">
        <v>1339</v>
      </c>
      <c r="Z31" s="23">
        <f t="shared" si="2"/>
        <v>13.39</v>
      </c>
      <c r="AA31" s="23">
        <v>4139</v>
      </c>
      <c r="AB31" s="23">
        <f t="shared" si="1"/>
        <v>41.39</v>
      </c>
      <c r="AK31" s="33"/>
      <c r="AL31" s="34"/>
      <c r="AM31" s="34"/>
      <c r="AN31" s="34"/>
      <c r="AO31" s="34"/>
      <c r="AP31" s="34"/>
      <c r="AQ31" s="34"/>
      <c r="AR31" s="34"/>
    </row>
    <row r="32" spans="1:44" ht="18" customHeight="1" x14ac:dyDescent="0.2">
      <c r="A32" s="22">
        <v>42036</v>
      </c>
      <c r="B32" s="23">
        <v>1945.81</v>
      </c>
      <c r="C32" s="23"/>
      <c r="D32" s="337"/>
      <c r="E32" s="23"/>
      <c r="F32" s="24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>
        <v>48.7</v>
      </c>
      <c r="Y32" s="23">
        <v>110</v>
      </c>
      <c r="Z32" s="23">
        <f t="shared" si="2"/>
        <v>1.1000000000000001</v>
      </c>
      <c r="AA32" s="23">
        <v>1618</v>
      </c>
      <c r="AB32" s="23">
        <f t="shared" si="1"/>
        <v>16.18</v>
      </c>
      <c r="AK32" s="33"/>
      <c r="AL32" s="34"/>
      <c r="AM32" s="34"/>
      <c r="AN32" s="34"/>
      <c r="AO32" s="34"/>
      <c r="AP32" s="34"/>
      <c r="AQ32" s="34"/>
      <c r="AR32" s="34"/>
    </row>
    <row r="33" spans="1:44" ht="18" customHeight="1" x14ac:dyDescent="0.2">
      <c r="A33" s="22">
        <v>42064</v>
      </c>
      <c r="B33" s="23">
        <v>3058.43</v>
      </c>
      <c r="C33" s="23"/>
      <c r="D33" s="337"/>
      <c r="E33" s="23"/>
      <c r="F33" s="24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>
        <v>632.49</v>
      </c>
      <c r="Y33" s="23">
        <v>2002</v>
      </c>
      <c r="Z33" s="23">
        <f t="shared" si="2"/>
        <v>20.02</v>
      </c>
      <c r="AA33" s="23">
        <v>4509</v>
      </c>
      <c r="AB33" s="23">
        <f t="shared" si="1"/>
        <v>45.09</v>
      </c>
      <c r="AK33" s="33"/>
      <c r="AL33" s="34"/>
      <c r="AM33" s="34"/>
      <c r="AN33" s="34"/>
      <c r="AO33" s="34"/>
      <c r="AP33" s="34"/>
      <c r="AQ33" s="34"/>
      <c r="AR33" s="34"/>
    </row>
    <row r="34" spans="1:44" ht="18" customHeight="1" x14ac:dyDescent="0.2">
      <c r="A34" s="22">
        <v>42095</v>
      </c>
      <c r="B34" s="23">
        <v>3658.22</v>
      </c>
      <c r="C34" s="23"/>
      <c r="D34" s="337"/>
      <c r="E34" s="23"/>
      <c r="F34" s="24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>
        <v>939.88</v>
      </c>
      <c r="Y34" s="23">
        <v>3110</v>
      </c>
      <c r="Z34" s="23">
        <f t="shared" si="2"/>
        <v>31.1</v>
      </c>
      <c r="AA34" s="23">
        <v>4847</v>
      </c>
      <c r="AB34" s="23">
        <f t="shared" si="1"/>
        <v>48.47</v>
      </c>
      <c r="AK34" s="33"/>
      <c r="AL34" s="34"/>
      <c r="AM34" s="34"/>
      <c r="AN34" s="34"/>
      <c r="AO34" s="34"/>
      <c r="AP34" s="34"/>
      <c r="AQ34" s="34"/>
      <c r="AR34" s="34"/>
    </row>
    <row r="35" spans="1:44" ht="18" customHeight="1" x14ac:dyDescent="0.2">
      <c r="A35" s="22">
        <v>42125</v>
      </c>
      <c r="B35" s="23">
        <v>4024.44</v>
      </c>
      <c r="C35" s="23"/>
      <c r="D35" s="337"/>
      <c r="E35" s="23"/>
      <c r="F35" s="24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>
        <v>1021.36</v>
      </c>
      <c r="Y35" s="23">
        <v>4047</v>
      </c>
      <c r="Z35" s="23">
        <f t="shared" si="2"/>
        <v>40.47</v>
      </c>
      <c r="AA35" s="23">
        <v>4837</v>
      </c>
      <c r="AB35" s="23">
        <f t="shared" si="1"/>
        <v>48.37</v>
      </c>
      <c r="AK35" s="33"/>
      <c r="AL35" s="34"/>
      <c r="AM35" s="34"/>
      <c r="AN35" s="34"/>
      <c r="AO35" s="34"/>
      <c r="AP35" s="34"/>
      <c r="AQ35" s="34"/>
      <c r="AR35" s="34"/>
    </row>
    <row r="36" spans="1:44" ht="18" customHeight="1" x14ac:dyDescent="0.2">
      <c r="A36" s="22">
        <v>42156</v>
      </c>
      <c r="B36" s="23">
        <v>4259.8500000000004</v>
      </c>
      <c r="C36" s="23"/>
      <c r="D36" s="337"/>
      <c r="E36" s="23"/>
      <c r="F36" s="24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>
        <v>1166.6199999999999</v>
      </c>
      <c r="Y36" s="23">
        <v>5639</v>
      </c>
      <c r="Z36" s="23">
        <f t="shared" si="2"/>
        <v>56.39</v>
      </c>
      <c r="AA36" s="23">
        <v>5954</v>
      </c>
      <c r="AB36" s="23">
        <f t="shared" si="1"/>
        <v>59.54</v>
      </c>
      <c r="AK36" s="33"/>
      <c r="AL36" s="34"/>
      <c r="AM36" s="34"/>
      <c r="AN36" s="34"/>
      <c r="AO36" s="34"/>
      <c r="AP36" s="34"/>
      <c r="AQ36" s="34"/>
      <c r="AR36" s="34"/>
    </row>
    <row r="37" spans="1:44" ht="18" customHeight="1" x14ac:dyDescent="0.2">
      <c r="A37" s="22">
        <v>42186</v>
      </c>
      <c r="B37" s="23">
        <v>5222.3999999999996</v>
      </c>
      <c r="C37" s="23"/>
      <c r="D37" s="337"/>
      <c r="E37" s="23"/>
      <c r="F37" s="24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>
        <v>465.33</v>
      </c>
      <c r="Y37" s="23">
        <v>5639</v>
      </c>
      <c r="Z37" s="23">
        <f t="shared" si="2"/>
        <v>56.39</v>
      </c>
      <c r="AA37" s="23">
        <v>5954</v>
      </c>
      <c r="AB37" s="23">
        <f t="shared" si="1"/>
        <v>59.54</v>
      </c>
      <c r="AK37" s="33"/>
      <c r="AL37" s="34"/>
      <c r="AM37" s="34"/>
      <c r="AN37" s="34"/>
      <c r="AO37" s="34"/>
      <c r="AP37" s="34"/>
      <c r="AQ37" s="34"/>
      <c r="AR37" s="34"/>
    </row>
    <row r="38" spans="1:44" ht="18" customHeight="1" x14ac:dyDescent="0.2">
      <c r="A38" s="22">
        <v>42217</v>
      </c>
      <c r="B38" s="23">
        <v>3815.13</v>
      </c>
      <c r="C38" s="23"/>
      <c r="D38" s="337"/>
      <c r="E38" s="23"/>
      <c r="F38" s="24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>
        <v>881.06</v>
      </c>
      <c r="Y38" s="23">
        <v>3231</v>
      </c>
      <c r="Z38" s="23">
        <f t="shared" si="2"/>
        <v>32.31</v>
      </c>
      <c r="AA38" s="23">
        <v>6119</v>
      </c>
      <c r="AB38" s="23">
        <f t="shared" si="1"/>
        <v>61.19</v>
      </c>
      <c r="AK38" s="33"/>
      <c r="AL38" s="34"/>
      <c r="AM38" s="34"/>
      <c r="AN38" s="34"/>
      <c r="AO38" s="34"/>
      <c r="AP38" s="34"/>
      <c r="AQ38" s="34"/>
      <c r="AR38" s="34"/>
    </row>
    <row r="39" spans="1:44" ht="18" customHeight="1" x14ac:dyDescent="0.2">
      <c r="A39" s="22">
        <v>42248</v>
      </c>
      <c r="B39" s="23">
        <v>4904.05</v>
      </c>
      <c r="C39" s="23"/>
      <c r="D39" s="337"/>
      <c r="E39" s="23"/>
      <c r="F39" s="24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>
        <v>1112.5999999999999</v>
      </c>
      <c r="Y39" s="23">
        <v>6250</v>
      </c>
      <c r="Z39" s="23">
        <f t="shared" si="2"/>
        <v>62.5</v>
      </c>
      <c r="AA39" s="23">
        <v>6109</v>
      </c>
      <c r="AB39" s="23">
        <f t="shared" si="1"/>
        <v>61.09</v>
      </c>
      <c r="AK39" s="33"/>
      <c r="AL39" s="34"/>
      <c r="AM39" s="34"/>
      <c r="AN39" s="34"/>
      <c r="AO39" s="34"/>
      <c r="AP39" s="34"/>
      <c r="AQ39" s="34"/>
      <c r="AR39" s="34"/>
    </row>
    <row r="40" spans="1:44" ht="18" customHeight="1" x14ac:dyDescent="0.2">
      <c r="A40" s="22">
        <v>42278</v>
      </c>
      <c r="B40" s="23">
        <v>5206.26</v>
      </c>
      <c r="C40" s="23"/>
      <c r="D40" s="337"/>
      <c r="E40" s="23"/>
      <c r="F40" s="24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>
        <v>831.04</v>
      </c>
      <c r="Y40" s="23">
        <v>6241</v>
      </c>
      <c r="Z40" s="23">
        <f t="shared" si="2"/>
        <v>62.41</v>
      </c>
      <c r="AA40" s="23">
        <v>5958</v>
      </c>
      <c r="AB40" s="23">
        <f t="shared" si="1"/>
        <v>59.58</v>
      </c>
      <c r="AK40" s="33"/>
      <c r="AL40" s="34"/>
      <c r="AM40" s="34"/>
      <c r="AN40" s="34"/>
      <c r="AO40" s="34"/>
      <c r="AP40" s="34"/>
      <c r="AQ40" s="34"/>
      <c r="AR40" s="34"/>
    </row>
    <row r="41" spans="1:44" ht="18" customHeight="1" x14ac:dyDescent="0.2">
      <c r="A41" s="22">
        <v>42309</v>
      </c>
      <c r="B41" s="23">
        <v>4751.84</v>
      </c>
      <c r="C41" s="23"/>
      <c r="D41" s="337"/>
      <c r="E41" s="23"/>
      <c r="F41" s="24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>
        <v>930.73</v>
      </c>
      <c r="Y41" s="23">
        <v>6058</v>
      </c>
      <c r="Z41" s="23">
        <f t="shared" si="2"/>
        <v>60.58</v>
      </c>
      <c r="AA41" s="23">
        <v>6108</v>
      </c>
      <c r="AB41" s="23">
        <f t="shared" si="1"/>
        <v>61.08</v>
      </c>
      <c r="AK41" s="33"/>
      <c r="AL41" s="34"/>
      <c r="AM41" s="34"/>
      <c r="AN41" s="34"/>
      <c r="AO41" s="34"/>
      <c r="AP41" s="34"/>
      <c r="AQ41" s="34"/>
      <c r="AR41" s="34"/>
    </row>
    <row r="42" spans="1:44" ht="18" customHeight="1" x14ac:dyDescent="0.2">
      <c r="A42" s="22">
        <v>42339</v>
      </c>
      <c r="B42" s="23">
        <v>5125.1499999999996</v>
      </c>
      <c r="C42" s="23"/>
      <c r="D42" s="337"/>
      <c r="E42" s="23"/>
      <c r="F42" s="24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>
        <v>830.75</v>
      </c>
      <c r="Y42" s="23">
        <v>7523</v>
      </c>
      <c r="Z42" s="23">
        <f t="shared" si="2"/>
        <v>75.23</v>
      </c>
      <c r="AA42" s="23">
        <v>5639</v>
      </c>
      <c r="AB42" s="23">
        <f t="shared" si="1"/>
        <v>56.39</v>
      </c>
      <c r="AK42" s="33"/>
      <c r="AL42" s="34"/>
      <c r="AM42" s="34"/>
      <c r="AN42" s="34"/>
      <c r="AO42" s="34"/>
      <c r="AP42" s="34"/>
      <c r="AQ42" s="34"/>
      <c r="AR42" s="34"/>
    </row>
    <row r="43" spans="1:44" ht="18" customHeight="1" x14ac:dyDescent="0.2">
      <c r="A43" s="22">
        <v>42370</v>
      </c>
      <c r="B43" s="23">
        <v>4352.12</v>
      </c>
      <c r="C43" s="23"/>
      <c r="D43" s="337"/>
      <c r="E43" s="23"/>
      <c r="F43" s="24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>
        <v>966.2</v>
      </c>
      <c r="Y43" s="23">
        <v>381800</v>
      </c>
      <c r="Z43" s="23">
        <f>Y43/10000</f>
        <v>38.18</v>
      </c>
      <c r="AA43" s="23">
        <v>532200</v>
      </c>
      <c r="AB43" s="23">
        <f t="shared" ref="AB43:AB65" si="3">AA43/10000</f>
        <v>53.22</v>
      </c>
      <c r="AK43" s="33"/>
      <c r="AL43" s="34"/>
      <c r="AM43" s="34"/>
      <c r="AN43" s="34"/>
      <c r="AO43" s="34"/>
      <c r="AP43" s="34"/>
      <c r="AQ43" s="34"/>
      <c r="AR43" s="34"/>
    </row>
    <row r="44" spans="1:44" ht="18" customHeight="1" x14ac:dyDescent="0.2">
      <c r="A44" s="22">
        <v>42401</v>
      </c>
      <c r="B44" s="23">
        <v>4505.3999999999996</v>
      </c>
      <c r="C44" s="23"/>
      <c r="D44" s="337"/>
      <c r="E44" s="23"/>
      <c r="F44" s="24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>
        <v>456.93</v>
      </c>
      <c r="Y44" s="23">
        <v>580500</v>
      </c>
      <c r="Z44" s="23">
        <f t="shared" ref="Z44:Z63" si="4">Y44/10000</f>
        <v>58.05</v>
      </c>
      <c r="AA44" s="23">
        <v>612500</v>
      </c>
      <c r="AB44" s="23">
        <f t="shared" si="3"/>
        <v>61.25</v>
      </c>
      <c r="AK44" s="33"/>
      <c r="AL44" s="34"/>
      <c r="AM44" s="34"/>
      <c r="AN44" s="34"/>
      <c r="AO44" s="34"/>
      <c r="AP44" s="34"/>
      <c r="AQ44" s="34"/>
      <c r="AR44" s="34"/>
    </row>
    <row r="45" spans="1:44" ht="18" customHeight="1" x14ac:dyDescent="0.2">
      <c r="A45" s="22">
        <v>42430</v>
      </c>
      <c r="B45" s="23">
        <v>3874.35</v>
      </c>
      <c r="C45" s="23"/>
      <c r="D45" s="337"/>
      <c r="E45" s="23"/>
      <c r="F45" s="24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>
        <v>346.65</v>
      </c>
      <c r="Y45" s="23">
        <v>443800</v>
      </c>
      <c r="Z45" s="23">
        <f t="shared" si="4"/>
        <v>44.38</v>
      </c>
      <c r="AA45" s="23">
        <v>530700</v>
      </c>
      <c r="AB45" s="23">
        <f t="shared" si="3"/>
        <v>53.07</v>
      </c>
      <c r="AK45" s="33"/>
      <c r="AL45" s="34"/>
      <c r="AM45" s="34"/>
      <c r="AN45" s="34"/>
      <c r="AO45" s="34"/>
      <c r="AP45" s="34"/>
      <c r="AQ45" s="34"/>
      <c r="AR45" s="34"/>
    </row>
    <row r="46" spans="1:44" ht="18" customHeight="1" x14ac:dyDescent="0.2">
      <c r="A46" s="22">
        <v>42461</v>
      </c>
      <c r="B46" s="23">
        <v>6771.27</v>
      </c>
      <c r="C46" s="23"/>
      <c r="D46" s="337"/>
      <c r="E46" s="23"/>
      <c r="F46" s="24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>
        <v>969.98</v>
      </c>
      <c r="Y46" s="23">
        <v>542200</v>
      </c>
      <c r="Z46" s="23">
        <f t="shared" si="4"/>
        <v>54.22</v>
      </c>
      <c r="AA46" s="23">
        <v>644400</v>
      </c>
      <c r="AB46" s="23">
        <f t="shared" si="3"/>
        <v>64.44</v>
      </c>
      <c r="AK46" s="33"/>
      <c r="AL46" s="34"/>
      <c r="AM46" s="34"/>
      <c r="AN46" s="34"/>
      <c r="AO46" s="34"/>
      <c r="AP46" s="34"/>
      <c r="AQ46" s="34"/>
      <c r="AR46" s="34"/>
    </row>
    <row r="47" spans="1:44" ht="18" customHeight="1" x14ac:dyDescent="0.2">
      <c r="A47" s="22">
        <v>42491</v>
      </c>
      <c r="B47" s="23">
        <v>4099.67</v>
      </c>
      <c r="C47" s="23"/>
      <c r="D47" s="337"/>
      <c r="E47" s="23"/>
      <c r="F47" s="24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>
        <v>1192.04</v>
      </c>
      <c r="Y47" s="23">
        <v>253900</v>
      </c>
      <c r="Z47" s="23">
        <f t="shared" si="4"/>
        <v>25.39</v>
      </c>
      <c r="AA47" s="23">
        <v>160900</v>
      </c>
      <c r="AB47" s="23">
        <f t="shared" si="3"/>
        <v>16.09</v>
      </c>
      <c r="AK47" s="33"/>
      <c r="AL47" s="34"/>
      <c r="AM47" s="34"/>
      <c r="AN47" s="34"/>
      <c r="AO47" s="34"/>
      <c r="AP47" s="34"/>
      <c r="AQ47" s="34"/>
      <c r="AR47" s="34"/>
    </row>
    <row r="48" spans="1:44" ht="18" customHeight="1" x14ac:dyDescent="0.2">
      <c r="A48" s="22">
        <v>42522</v>
      </c>
      <c r="B48" s="23">
        <v>5416.18</v>
      </c>
      <c r="C48" s="23"/>
      <c r="D48" s="337"/>
      <c r="E48" s="23"/>
      <c r="F48" s="24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>
        <v>1094.32</v>
      </c>
      <c r="Y48" s="23">
        <v>700600</v>
      </c>
      <c r="Z48" s="23">
        <f t="shared" si="4"/>
        <v>70.06</v>
      </c>
      <c r="AA48" s="23">
        <v>640300</v>
      </c>
      <c r="AB48" s="23">
        <f t="shared" si="3"/>
        <v>64.03</v>
      </c>
      <c r="AK48" s="33"/>
      <c r="AL48" s="34"/>
      <c r="AM48" s="34"/>
      <c r="AN48" s="34"/>
      <c r="AO48" s="34"/>
      <c r="AP48" s="34"/>
      <c r="AQ48" s="34"/>
      <c r="AR48" s="34"/>
    </row>
    <row r="49" spans="1:44" ht="18" customHeight="1" x14ac:dyDescent="0.2">
      <c r="A49" s="22">
        <v>42552</v>
      </c>
      <c r="B49" s="23">
        <v>4420.2299999999996</v>
      </c>
      <c r="C49" s="23"/>
      <c r="D49" s="337"/>
      <c r="E49" s="23"/>
      <c r="F49" s="24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>
        <v>855.56</v>
      </c>
      <c r="Y49" s="23">
        <v>451400</v>
      </c>
      <c r="Z49" s="23">
        <f t="shared" si="4"/>
        <v>45.14</v>
      </c>
      <c r="AA49" s="23">
        <v>612200</v>
      </c>
      <c r="AB49" s="23">
        <f t="shared" si="3"/>
        <v>61.22</v>
      </c>
      <c r="AK49" s="33"/>
      <c r="AL49" s="34"/>
      <c r="AM49" s="34"/>
      <c r="AN49" s="34"/>
      <c r="AO49" s="34"/>
      <c r="AP49" s="34"/>
      <c r="AQ49" s="34"/>
      <c r="AR49" s="34"/>
    </row>
    <row r="50" spans="1:44" ht="18" customHeight="1" x14ac:dyDescent="0.2">
      <c r="A50" s="22">
        <v>42583</v>
      </c>
      <c r="B50" s="23">
        <v>5004.1099999999997</v>
      </c>
      <c r="C50" s="23"/>
      <c r="D50" s="337"/>
      <c r="E50" s="23"/>
      <c r="F50" s="24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>
        <v>929.7</v>
      </c>
      <c r="Y50" s="23">
        <v>615900</v>
      </c>
      <c r="Z50" s="23">
        <f t="shared" si="4"/>
        <v>61.59</v>
      </c>
      <c r="AA50" s="23">
        <v>583800</v>
      </c>
      <c r="AB50" s="23">
        <f t="shared" si="3"/>
        <v>58.38</v>
      </c>
      <c r="AK50" s="33"/>
      <c r="AL50" s="34"/>
      <c r="AM50" s="34"/>
      <c r="AN50" s="34"/>
      <c r="AO50" s="34"/>
      <c r="AP50" s="34"/>
      <c r="AQ50" s="34"/>
      <c r="AR50" s="34"/>
    </row>
    <row r="51" spans="1:44" ht="18" customHeight="1" x14ac:dyDescent="0.2">
      <c r="A51" s="22">
        <v>42614</v>
      </c>
      <c r="B51" s="23">
        <v>3711.55</v>
      </c>
      <c r="C51" s="23"/>
      <c r="D51" s="337"/>
      <c r="E51" s="23"/>
      <c r="F51" s="24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>
        <v>144.52000000000001</v>
      </c>
      <c r="Y51" s="23">
        <v>421900</v>
      </c>
      <c r="Z51" s="23">
        <f t="shared" si="4"/>
        <v>42.19</v>
      </c>
      <c r="AA51" s="23">
        <v>614700</v>
      </c>
      <c r="AB51" s="23">
        <f t="shared" si="3"/>
        <v>61.47</v>
      </c>
      <c r="AK51" s="33"/>
      <c r="AL51" s="34"/>
      <c r="AM51" s="34"/>
      <c r="AN51" s="34"/>
      <c r="AO51" s="34"/>
      <c r="AP51" s="34"/>
      <c r="AQ51" s="34"/>
      <c r="AR51" s="34"/>
    </row>
    <row r="52" spans="1:44" ht="18" customHeight="1" x14ac:dyDescent="0.2">
      <c r="A52" s="22">
        <v>42644</v>
      </c>
      <c r="B52" s="23">
        <v>4500.6499999999996</v>
      </c>
      <c r="C52" s="23"/>
      <c r="D52" s="337"/>
      <c r="E52" s="23"/>
      <c r="F52" s="24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>
        <v>361.43</v>
      </c>
      <c r="Y52" s="23">
        <v>421300</v>
      </c>
      <c r="Z52" s="23">
        <f t="shared" si="4"/>
        <v>42.13</v>
      </c>
      <c r="AA52" s="23">
        <v>525800</v>
      </c>
      <c r="AB52" s="23">
        <f t="shared" si="3"/>
        <v>52.58</v>
      </c>
      <c r="AK52" s="33"/>
      <c r="AL52" s="34"/>
      <c r="AM52" s="34"/>
      <c r="AN52" s="34"/>
      <c r="AO52" s="34"/>
      <c r="AP52" s="34"/>
      <c r="AQ52" s="34"/>
      <c r="AR52" s="34"/>
    </row>
    <row r="53" spans="1:44" ht="18" customHeight="1" x14ac:dyDescent="0.2">
      <c r="A53" s="22">
        <v>42675</v>
      </c>
      <c r="B53" s="23">
        <v>2830.16</v>
      </c>
      <c r="C53" s="23"/>
      <c r="D53" s="337"/>
      <c r="E53" s="23"/>
      <c r="F53" s="24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>
        <v>66.400000000000006</v>
      </c>
      <c r="Y53" s="23">
        <v>14.29</v>
      </c>
      <c r="Z53" s="23">
        <f t="shared" si="4"/>
        <v>0</v>
      </c>
      <c r="AA53" s="23">
        <v>40.36</v>
      </c>
      <c r="AB53" s="23">
        <f t="shared" si="3"/>
        <v>0</v>
      </c>
      <c r="AK53" s="33"/>
      <c r="AL53" s="34"/>
      <c r="AM53" s="34"/>
      <c r="AN53" s="34"/>
      <c r="AO53" s="34"/>
      <c r="AP53" s="34"/>
      <c r="AQ53" s="34"/>
      <c r="AR53" s="34"/>
    </row>
    <row r="54" spans="1:44" ht="18" customHeight="1" x14ac:dyDescent="0.2">
      <c r="A54" s="22">
        <v>42705</v>
      </c>
      <c r="B54" s="23">
        <v>3562.26</v>
      </c>
      <c r="C54" s="23"/>
      <c r="D54" s="337"/>
      <c r="E54" s="23"/>
      <c r="F54" s="24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>
        <v>57.79</v>
      </c>
      <c r="Y54" s="23">
        <v>29.23</v>
      </c>
      <c r="Z54" s="23">
        <f t="shared" si="4"/>
        <v>0</v>
      </c>
      <c r="AA54" s="23">
        <v>45.31</v>
      </c>
      <c r="AB54" s="23">
        <f t="shared" si="3"/>
        <v>0</v>
      </c>
      <c r="AK54" s="33"/>
      <c r="AL54" s="34"/>
      <c r="AM54" s="34"/>
      <c r="AN54" s="34"/>
      <c r="AO54" s="34"/>
      <c r="AP54" s="34"/>
      <c r="AQ54" s="34"/>
      <c r="AR54" s="34"/>
    </row>
    <row r="55" spans="1:44" ht="18" customHeight="1" x14ac:dyDescent="0.2">
      <c r="A55" s="22">
        <v>42736</v>
      </c>
      <c r="B55" s="23">
        <v>3555.2</v>
      </c>
      <c r="C55" s="23"/>
      <c r="D55" s="337"/>
      <c r="E55" s="23"/>
      <c r="F55" s="24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>
        <v>32.57</v>
      </c>
      <c r="Z55" s="23">
        <f t="shared" si="4"/>
        <v>0</v>
      </c>
      <c r="AA55" s="23">
        <v>46.17</v>
      </c>
      <c r="AB55" s="23">
        <f t="shared" si="3"/>
        <v>0</v>
      </c>
      <c r="AK55" s="33"/>
      <c r="AL55" s="34"/>
      <c r="AM55" s="34"/>
      <c r="AN55" s="34"/>
      <c r="AO55" s="34"/>
      <c r="AP55" s="34"/>
      <c r="AQ55" s="34"/>
      <c r="AR55" s="34"/>
    </row>
    <row r="56" spans="1:44" ht="18" customHeight="1" x14ac:dyDescent="0.2">
      <c r="A56" s="22">
        <v>42767</v>
      </c>
      <c r="B56" s="23">
        <v>3888.13</v>
      </c>
      <c r="C56" s="23"/>
      <c r="D56" s="337"/>
      <c r="E56" s="23"/>
      <c r="F56" s="24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>
        <v>32.51</v>
      </c>
      <c r="Z56" s="23">
        <f t="shared" si="4"/>
        <v>0</v>
      </c>
      <c r="AA56" s="23">
        <v>48.36</v>
      </c>
      <c r="AB56" s="23">
        <f t="shared" si="3"/>
        <v>0</v>
      </c>
      <c r="AK56" s="33"/>
      <c r="AL56" s="34"/>
      <c r="AM56" s="34"/>
      <c r="AN56" s="34"/>
      <c r="AO56" s="34"/>
      <c r="AP56" s="34"/>
      <c r="AQ56" s="34"/>
      <c r="AR56" s="34"/>
    </row>
    <row r="57" spans="1:44" ht="18" customHeight="1" x14ac:dyDescent="0.2">
      <c r="A57" s="22">
        <v>42795</v>
      </c>
      <c r="B57" s="23">
        <v>3586.37</v>
      </c>
      <c r="C57" s="23"/>
      <c r="D57" s="337"/>
      <c r="E57" s="23"/>
      <c r="F57" s="24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>
        <v>504.75</v>
      </c>
      <c r="Y57" s="23">
        <v>12.39</v>
      </c>
      <c r="Z57" s="23">
        <f t="shared" si="4"/>
        <v>0</v>
      </c>
      <c r="AA57" s="23">
        <v>23.01</v>
      </c>
      <c r="AB57" s="23">
        <f t="shared" si="3"/>
        <v>0</v>
      </c>
      <c r="AK57" s="33"/>
      <c r="AL57" s="34"/>
      <c r="AM57" s="34"/>
      <c r="AN57" s="34"/>
      <c r="AO57" s="34"/>
      <c r="AP57" s="34"/>
      <c r="AQ57" s="34"/>
      <c r="AR57" s="34"/>
    </row>
    <row r="58" spans="1:44" ht="18" customHeight="1" x14ac:dyDescent="0.2">
      <c r="A58" s="22">
        <v>42826</v>
      </c>
      <c r="B58" s="23">
        <v>5557.4</v>
      </c>
      <c r="C58" s="23"/>
      <c r="D58" s="337"/>
      <c r="E58" s="23"/>
      <c r="F58" s="24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>
        <v>1305.8399999999999</v>
      </c>
      <c r="Y58" s="23">
        <v>44.21</v>
      </c>
      <c r="Z58" s="23">
        <f t="shared" si="4"/>
        <v>0</v>
      </c>
      <c r="AA58" s="23">
        <v>57.25</v>
      </c>
      <c r="AB58" s="23">
        <f t="shared" si="3"/>
        <v>0.01</v>
      </c>
      <c r="AK58" s="33"/>
      <c r="AL58" s="34"/>
      <c r="AM58" s="34"/>
      <c r="AN58" s="34"/>
      <c r="AO58" s="34"/>
      <c r="AP58" s="34"/>
      <c r="AQ58" s="34"/>
      <c r="AR58" s="34"/>
    </row>
    <row r="59" spans="1:44" ht="18" customHeight="1" x14ac:dyDescent="0.2">
      <c r="A59" s="22">
        <v>42856</v>
      </c>
      <c r="B59" s="23">
        <v>9335.7800000000007</v>
      </c>
      <c r="C59" s="23"/>
      <c r="D59" s="337"/>
      <c r="E59" s="23"/>
      <c r="F59" s="24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>
        <v>1245.93</v>
      </c>
      <c r="Y59" s="23">
        <v>79.58</v>
      </c>
      <c r="Z59" s="23">
        <f t="shared" si="4"/>
        <v>0.01</v>
      </c>
      <c r="AA59" s="23">
        <v>58.46</v>
      </c>
      <c r="AB59" s="23">
        <f t="shared" si="3"/>
        <v>0.01</v>
      </c>
      <c r="AK59" s="33"/>
      <c r="AL59" s="34"/>
      <c r="AM59" s="34"/>
      <c r="AN59" s="34"/>
      <c r="AO59" s="34"/>
      <c r="AP59" s="34"/>
      <c r="AQ59" s="34"/>
      <c r="AR59" s="34"/>
    </row>
    <row r="60" spans="1:44" ht="18" customHeight="1" x14ac:dyDescent="0.2">
      <c r="A60" s="22">
        <v>42887</v>
      </c>
      <c r="B60" s="23">
        <v>4560.0600000000004</v>
      </c>
      <c r="C60" s="23"/>
      <c r="D60" s="337"/>
      <c r="E60" s="23"/>
      <c r="F60" s="24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>
        <v>1292.3499999999999</v>
      </c>
      <c r="Y60" s="23">
        <v>15.29</v>
      </c>
      <c r="Z60" s="23">
        <f t="shared" si="4"/>
        <v>0</v>
      </c>
      <c r="AA60" s="23">
        <v>16.100000000000001</v>
      </c>
      <c r="AB60" s="23">
        <f t="shared" si="3"/>
        <v>0</v>
      </c>
      <c r="AK60" s="33"/>
      <c r="AL60" s="34"/>
      <c r="AM60" s="34"/>
      <c r="AN60" s="34"/>
      <c r="AO60" s="34"/>
      <c r="AP60" s="34"/>
      <c r="AQ60" s="34"/>
      <c r="AR60" s="34"/>
    </row>
    <row r="61" spans="1:44" ht="18" customHeight="1" x14ac:dyDescent="0.2">
      <c r="A61" s="22">
        <v>42917</v>
      </c>
      <c r="B61" s="23">
        <v>5657.12</v>
      </c>
      <c r="C61" s="23"/>
      <c r="D61" s="337"/>
      <c r="E61" s="23"/>
      <c r="F61" s="24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>
        <v>1110.17</v>
      </c>
      <c r="Y61" s="23">
        <v>45.4</v>
      </c>
      <c r="Z61" s="23">
        <f t="shared" si="4"/>
        <v>0</v>
      </c>
      <c r="AA61" s="23">
        <v>53.22</v>
      </c>
      <c r="AB61" s="23">
        <f t="shared" si="3"/>
        <v>0.01</v>
      </c>
      <c r="AK61" s="33"/>
      <c r="AL61" s="34"/>
      <c r="AM61" s="34"/>
      <c r="AN61" s="34"/>
      <c r="AO61" s="34"/>
      <c r="AP61" s="34"/>
      <c r="AQ61" s="34"/>
      <c r="AR61" s="34"/>
    </row>
    <row r="62" spans="1:44" ht="18" customHeight="1" x14ac:dyDescent="0.2">
      <c r="A62" s="22">
        <v>42948</v>
      </c>
      <c r="B62" s="23">
        <v>5450.85</v>
      </c>
      <c r="C62" s="23"/>
      <c r="D62" s="337"/>
      <c r="E62" s="23"/>
      <c r="F62" s="24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>
        <v>967.26</v>
      </c>
      <c r="Y62" s="23">
        <v>44.47</v>
      </c>
      <c r="Z62" s="23">
        <f t="shared" si="4"/>
        <v>0</v>
      </c>
      <c r="AA62" s="23">
        <v>56.55</v>
      </c>
      <c r="AB62" s="23">
        <f t="shared" si="3"/>
        <v>0.01</v>
      </c>
      <c r="AK62" s="33"/>
      <c r="AL62" s="34"/>
      <c r="AM62" s="34"/>
      <c r="AN62" s="34"/>
      <c r="AO62" s="34"/>
      <c r="AP62" s="34"/>
      <c r="AQ62" s="34"/>
      <c r="AR62" s="34"/>
    </row>
    <row r="63" spans="1:44" ht="18" customHeight="1" x14ac:dyDescent="0.2">
      <c r="A63" s="22">
        <v>42979</v>
      </c>
      <c r="B63" s="23">
        <v>5900.15</v>
      </c>
      <c r="C63" s="23"/>
      <c r="D63" s="337"/>
      <c r="E63" s="23"/>
      <c r="F63" s="24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>
        <v>1157.28</v>
      </c>
      <c r="Y63" s="23">
        <v>50.44</v>
      </c>
      <c r="Z63" s="23">
        <f t="shared" si="4"/>
        <v>0.01</v>
      </c>
      <c r="AA63" s="23">
        <v>60.07</v>
      </c>
      <c r="AB63" s="23">
        <f t="shared" si="3"/>
        <v>0.01</v>
      </c>
      <c r="AK63" s="33"/>
      <c r="AL63" s="34"/>
      <c r="AM63" s="34"/>
      <c r="AN63" s="34"/>
      <c r="AO63" s="34"/>
      <c r="AP63" s="34"/>
      <c r="AQ63" s="34"/>
      <c r="AR63" s="34"/>
    </row>
    <row r="64" spans="1:44" ht="18" customHeight="1" x14ac:dyDescent="0.2">
      <c r="A64" s="22">
        <v>43009</v>
      </c>
      <c r="B64" s="23">
        <v>7094.41</v>
      </c>
      <c r="C64" s="23"/>
      <c r="D64" s="337"/>
      <c r="E64" s="23"/>
      <c r="F64" s="24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>
        <v>950.88</v>
      </c>
      <c r="Y64" s="23">
        <v>65.290000000000006</v>
      </c>
      <c r="Z64" s="23">
        <f>Y64/10000</f>
        <v>0.01</v>
      </c>
      <c r="AA64" s="23">
        <v>56.39</v>
      </c>
      <c r="AB64" s="23">
        <f t="shared" si="3"/>
        <v>0.01</v>
      </c>
      <c r="AK64" s="33"/>
      <c r="AL64" s="34"/>
      <c r="AM64" s="34"/>
      <c r="AN64" s="34"/>
      <c r="AO64" s="34"/>
      <c r="AP64" s="34"/>
      <c r="AQ64" s="34"/>
      <c r="AR64" s="34"/>
    </row>
    <row r="65" spans="1:44" ht="18" customHeight="1" x14ac:dyDescent="0.2">
      <c r="A65" s="22">
        <v>43040</v>
      </c>
      <c r="B65" s="23">
        <v>6007.27</v>
      </c>
      <c r="C65" s="23"/>
      <c r="D65" s="337"/>
      <c r="E65" s="23"/>
      <c r="F65" s="24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>
        <v>865.62</v>
      </c>
      <c r="Y65" s="23">
        <v>56.38</v>
      </c>
      <c r="Z65" s="23">
        <f>Y65/10000</f>
        <v>0.01</v>
      </c>
      <c r="AA65" s="23">
        <v>63.3</v>
      </c>
      <c r="AB65" s="23">
        <f t="shared" si="3"/>
        <v>0.01</v>
      </c>
      <c r="AK65" s="33"/>
      <c r="AL65" s="34"/>
      <c r="AM65" s="34"/>
      <c r="AN65" s="34"/>
      <c r="AO65" s="34"/>
      <c r="AP65" s="34"/>
      <c r="AQ65" s="34"/>
      <c r="AR65" s="34"/>
    </row>
    <row r="66" spans="1:44" ht="18" customHeight="1" x14ac:dyDescent="0.2">
      <c r="A66" s="22" t="s">
        <v>8</v>
      </c>
      <c r="B66" s="23"/>
      <c r="C66" s="23"/>
      <c r="D66" s="23"/>
      <c r="E66" s="23"/>
      <c r="F66" s="339"/>
      <c r="G66" s="339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K66" s="33"/>
      <c r="AL66" s="34"/>
      <c r="AM66" s="34"/>
      <c r="AN66" s="34"/>
      <c r="AO66" s="34"/>
      <c r="AP66" s="34"/>
      <c r="AQ66" s="34"/>
      <c r="AR66" s="34"/>
    </row>
    <row r="67" spans="1:44" ht="18" customHeight="1" x14ac:dyDescent="0.2">
      <c r="A67" s="22">
        <v>41244</v>
      </c>
      <c r="B67" s="23"/>
      <c r="C67" s="337"/>
      <c r="D67" s="23"/>
      <c r="E67" s="23"/>
      <c r="F67" s="24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K67" s="33"/>
      <c r="AL67" s="34"/>
      <c r="AM67" s="34"/>
      <c r="AN67" s="34"/>
      <c r="AO67" s="34"/>
      <c r="AP67" s="34"/>
      <c r="AQ67" s="34"/>
      <c r="AR67" s="34"/>
    </row>
    <row r="68" spans="1:44" ht="18" customHeight="1" x14ac:dyDescent="0.2">
      <c r="A68" s="22">
        <v>41609</v>
      </c>
      <c r="B68" s="35">
        <v>583.30999999999995</v>
      </c>
      <c r="C68" s="337"/>
      <c r="D68" s="35"/>
      <c r="E68" s="35"/>
      <c r="F68" s="24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23"/>
      <c r="X68" s="23"/>
      <c r="Y68" s="23"/>
      <c r="Z68" s="23"/>
      <c r="AA68" s="23"/>
      <c r="AB68" s="23"/>
      <c r="AK68" s="33"/>
      <c r="AL68" s="34"/>
      <c r="AM68" s="34"/>
      <c r="AN68" s="34"/>
      <c r="AO68" s="34"/>
      <c r="AP68" s="34"/>
      <c r="AQ68" s="34"/>
      <c r="AR68" s="34"/>
    </row>
    <row r="69" spans="1:44" ht="18" customHeight="1" x14ac:dyDescent="0.2">
      <c r="A69" s="22">
        <v>41974</v>
      </c>
      <c r="B69" s="35">
        <v>2630.66</v>
      </c>
      <c r="C69" s="337"/>
      <c r="D69" s="35"/>
      <c r="E69" s="35"/>
      <c r="F69" s="24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23"/>
      <c r="X69" s="23"/>
      <c r="Y69" s="23"/>
      <c r="Z69" s="23"/>
      <c r="AA69" s="23"/>
      <c r="AB69" s="23"/>
      <c r="AK69" s="33"/>
      <c r="AL69" s="34"/>
      <c r="AM69" s="34"/>
      <c r="AN69" s="34"/>
      <c r="AO69" s="34"/>
      <c r="AP69" s="34"/>
      <c r="AQ69" s="34"/>
      <c r="AR69" s="34"/>
    </row>
    <row r="70" spans="1:44" ht="18" customHeight="1" x14ac:dyDescent="0.2">
      <c r="A70" s="22">
        <v>42339</v>
      </c>
      <c r="B70" s="35">
        <v>3346.91</v>
      </c>
      <c r="C70" s="337"/>
      <c r="D70" s="35"/>
      <c r="E70" s="35"/>
      <c r="F70" s="24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23"/>
      <c r="X70" s="23"/>
      <c r="Y70" s="23"/>
      <c r="Z70" s="23"/>
      <c r="AA70" s="23"/>
      <c r="AB70" s="23"/>
      <c r="AK70" s="33"/>
      <c r="AL70" s="34"/>
      <c r="AM70" s="34"/>
      <c r="AN70" s="34"/>
      <c r="AO70" s="34"/>
      <c r="AP70" s="34"/>
      <c r="AQ70" s="34"/>
      <c r="AR70" s="34"/>
    </row>
    <row r="71" spans="1:44" ht="18" customHeight="1" x14ac:dyDescent="0.2">
      <c r="A71" s="22">
        <v>42705</v>
      </c>
      <c r="B71" s="35">
        <v>3936.1</v>
      </c>
      <c r="C71" s="337"/>
      <c r="D71" s="35"/>
      <c r="E71" s="35"/>
      <c r="F71" s="24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23"/>
      <c r="X71" s="23"/>
      <c r="Y71" s="23"/>
      <c r="Z71" s="23"/>
      <c r="AA71" s="23"/>
      <c r="AB71" s="23"/>
      <c r="AK71" s="33"/>
      <c r="AL71" s="34"/>
      <c r="AM71" s="34"/>
      <c r="AN71" s="34"/>
      <c r="AO71" s="34"/>
      <c r="AP71" s="34"/>
      <c r="AQ71" s="34"/>
      <c r="AR71" s="34"/>
    </row>
    <row r="72" spans="1:44" ht="18" customHeight="1" x14ac:dyDescent="0.2">
      <c r="A72" s="22">
        <v>43040</v>
      </c>
      <c r="B72" s="35"/>
      <c r="C72" s="337"/>
      <c r="D72" s="35"/>
      <c r="E72" s="35"/>
      <c r="F72" s="24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23"/>
      <c r="X72" s="23"/>
      <c r="Y72" s="23"/>
      <c r="Z72" s="23"/>
      <c r="AA72" s="23"/>
      <c r="AB72" s="23"/>
      <c r="AK72" s="33"/>
      <c r="AL72" s="34"/>
      <c r="AM72" s="34"/>
      <c r="AN72" s="34"/>
      <c r="AO72" s="34"/>
      <c r="AP72" s="34"/>
      <c r="AQ72" s="34"/>
      <c r="AR72" s="34"/>
    </row>
    <row r="73" spans="1:44" ht="18" customHeight="1" x14ac:dyDescent="0.2">
      <c r="F73" s="37"/>
      <c r="AK73" s="33"/>
      <c r="AL73" s="34"/>
      <c r="AM73" s="34"/>
      <c r="AN73" s="34"/>
      <c r="AO73" s="34"/>
      <c r="AP73" s="34"/>
      <c r="AQ73" s="34"/>
      <c r="AR73" s="34"/>
    </row>
    <row r="74" spans="1:44" ht="18" customHeight="1" x14ac:dyDescent="0.2">
      <c r="AK74" s="33"/>
      <c r="AL74" s="34"/>
      <c r="AM74" s="34"/>
      <c r="AN74" s="34"/>
      <c r="AO74" s="34"/>
      <c r="AP74" s="34"/>
      <c r="AQ74" s="34"/>
      <c r="AR74" s="34"/>
    </row>
    <row r="75" spans="1:44" ht="18" customHeight="1" x14ac:dyDescent="0.2">
      <c r="AK75" s="33"/>
      <c r="AL75" s="34"/>
      <c r="AM75" s="34"/>
      <c r="AN75" s="34"/>
      <c r="AO75" s="34"/>
      <c r="AP75" s="34"/>
      <c r="AQ75" s="34"/>
      <c r="AR75" s="34"/>
    </row>
    <row r="76" spans="1:44" ht="18" customHeight="1" x14ac:dyDescent="0.2">
      <c r="AK76" s="33"/>
      <c r="AL76" s="34"/>
      <c r="AM76" s="34"/>
      <c r="AN76" s="34"/>
      <c r="AO76" s="34"/>
      <c r="AP76" s="34"/>
      <c r="AQ76" s="34"/>
      <c r="AR76" s="34"/>
    </row>
    <row r="77" spans="1:44" ht="18" customHeight="1" x14ac:dyDescent="0.2">
      <c r="AK77" s="33"/>
      <c r="AL77" s="34"/>
      <c r="AM77" s="34"/>
      <c r="AN77" s="34"/>
      <c r="AO77" s="34"/>
      <c r="AP77" s="34"/>
      <c r="AQ77" s="34"/>
      <c r="AR77" s="34"/>
    </row>
    <row r="78" spans="1:44" ht="18" customHeight="1" x14ac:dyDescent="0.2">
      <c r="AK78" s="33"/>
      <c r="AL78" s="34"/>
      <c r="AM78" s="34"/>
      <c r="AN78" s="34"/>
      <c r="AO78" s="34"/>
      <c r="AP78" s="34"/>
      <c r="AQ78" s="34"/>
      <c r="AR78" s="34"/>
    </row>
    <row r="79" spans="1:44" ht="18" customHeight="1" x14ac:dyDescent="0.2">
      <c r="AK79" s="33"/>
      <c r="AL79" s="34"/>
      <c r="AM79" s="34"/>
      <c r="AN79" s="34"/>
      <c r="AO79" s="34"/>
      <c r="AP79" s="34"/>
      <c r="AQ79" s="34"/>
      <c r="AR79" s="34"/>
    </row>
    <row r="80" spans="1:44" ht="18" customHeight="1" x14ac:dyDescent="0.2">
      <c r="AK80" s="33"/>
      <c r="AL80" s="34"/>
      <c r="AM80" s="34"/>
      <c r="AN80" s="34"/>
      <c r="AO80" s="34"/>
      <c r="AP80" s="34"/>
      <c r="AQ80" s="34"/>
      <c r="AR80" s="34"/>
    </row>
    <row r="81" spans="37:44" ht="18" customHeight="1" x14ac:dyDescent="0.2">
      <c r="AK81" s="33"/>
      <c r="AL81" s="34"/>
      <c r="AM81" s="34"/>
      <c r="AN81" s="34"/>
      <c r="AO81" s="34"/>
      <c r="AP81" s="34"/>
      <c r="AQ81" s="34"/>
      <c r="AR81" s="34"/>
    </row>
    <row r="82" spans="37:44" ht="18" customHeight="1" x14ac:dyDescent="0.2">
      <c r="AK82" s="33"/>
      <c r="AL82" s="34"/>
      <c r="AM82" s="34"/>
      <c r="AN82" s="34"/>
      <c r="AO82" s="34"/>
      <c r="AP82" s="34"/>
      <c r="AQ82" s="34"/>
      <c r="AR82" s="34"/>
    </row>
    <row r="83" spans="37:44" ht="18" customHeight="1" x14ac:dyDescent="0.2">
      <c r="AK83" s="33"/>
      <c r="AL83" s="34"/>
      <c r="AM83" s="34"/>
      <c r="AN83" s="34"/>
      <c r="AO83" s="34"/>
      <c r="AP83" s="34"/>
      <c r="AQ83" s="34"/>
      <c r="AR83" s="34"/>
    </row>
    <row r="84" spans="37:44" ht="18" customHeight="1" x14ac:dyDescent="0.2">
      <c r="AK84" s="33"/>
      <c r="AL84" s="34"/>
      <c r="AM84" s="34"/>
      <c r="AN84" s="34"/>
      <c r="AO84" s="34"/>
      <c r="AP84" s="34"/>
      <c r="AQ84" s="34"/>
      <c r="AR84" s="34"/>
    </row>
    <row r="85" spans="37:44" ht="18" customHeight="1" x14ac:dyDescent="0.2">
      <c r="AK85" s="33"/>
      <c r="AL85" s="34"/>
      <c r="AM85" s="34"/>
      <c r="AN85" s="34"/>
      <c r="AO85" s="34"/>
      <c r="AP85" s="34"/>
      <c r="AQ85" s="34"/>
      <c r="AR85" s="34"/>
    </row>
    <row r="86" spans="37:44" ht="18" customHeight="1" x14ac:dyDescent="0.2">
      <c r="AK86" s="33"/>
      <c r="AL86" s="34"/>
      <c r="AM86" s="34"/>
      <c r="AN86" s="34"/>
      <c r="AO86" s="34"/>
      <c r="AP86" s="34"/>
      <c r="AQ86" s="34"/>
      <c r="AR86" s="34"/>
    </row>
    <row r="87" spans="37:44" ht="18" customHeight="1" x14ac:dyDescent="0.2">
      <c r="AK87" s="33"/>
      <c r="AL87" s="34"/>
      <c r="AM87" s="34"/>
      <c r="AN87" s="34"/>
      <c r="AO87" s="34"/>
      <c r="AP87" s="34"/>
      <c r="AQ87" s="34"/>
      <c r="AR87" s="34"/>
    </row>
    <row r="88" spans="37:44" ht="18" customHeight="1" x14ac:dyDescent="0.2">
      <c r="AK88" s="33"/>
      <c r="AL88" s="34"/>
      <c r="AM88" s="34"/>
      <c r="AN88" s="34"/>
      <c r="AO88" s="34"/>
      <c r="AP88" s="34"/>
      <c r="AQ88" s="34"/>
      <c r="AR88" s="34"/>
    </row>
    <row r="89" spans="37:44" ht="18" customHeight="1" x14ac:dyDescent="0.2">
      <c r="AK89" s="33"/>
      <c r="AL89" s="34"/>
      <c r="AM89" s="34"/>
      <c r="AN89" s="34"/>
      <c r="AO89" s="34"/>
      <c r="AP89" s="34"/>
      <c r="AQ89" s="34"/>
      <c r="AR89" s="34"/>
    </row>
    <row r="90" spans="37:44" ht="18" customHeight="1" x14ac:dyDescent="0.2">
      <c r="AK90" s="33"/>
      <c r="AL90" s="34"/>
      <c r="AM90" s="34"/>
      <c r="AN90" s="34"/>
      <c r="AO90" s="34"/>
      <c r="AP90" s="34"/>
      <c r="AQ90" s="34"/>
      <c r="AR90" s="34"/>
    </row>
    <row r="91" spans="37:44" ht="18" customHeight="1" x14ac:dyDescent="0.2">
      <c r="AK91" s="33"/>
      <c r="AL91" s="34"/>
      <c r="AM91" s="34"/>
      <c r="AN91" s="34"/>
      <c r="AO91" s="34"/>
      <c r="AP91" s="34"/>
      <c r="AQ91" s="34"/>
      <c r="AR91" s="34"/>
    </row>
    <row r="92" spans="37:44" ht="18" customHeight="1" x14ac:dyDescent="0.2">
      <c r="AK92" s="33"/>
      <c r="AL92" s="34"/>
      <c r="AM92" s="34"/>
      <c r="AN92" s="34"/>
      <c r="AO92" s="34"/>
      <c r="AP92" s="34"/>
      <c r="AQ92" s="34"/>
      <c r="AR92" s="34"/>
    </row>
    <row r="93" spans="37:44" ht="18" customHeight="1" x14ac:dyDescent="0.2">
      <c r="AK93" s="33"/>
      <c r="AL93" s="34"/>
      <c r="AM93" s="34"/>
      <c r="AN93" s="34"/>
      <c r="AO93" s="34"/>
      <c r="AP93" s="34"/>
      <c r="AQ93" s="34"/>
      <c r="AR93" s="34"/>
    </row>
    <row r="94" spans="37:44" ht="18" customHeight="1" x14ac:dyDescent="0.2">
      <c r="AK94" s="33"/>
      <c r="AL94" s="34"/>
      <c r="AM94" s="34"/>
      <c r="AN94" s="34"/>
      <c r="AO94" s="34"/>
      <c r="AP94" s="34"/>
      <c r="AQ94" s="34"/>
      <c r="AR94" s="34"/>
    </row>
    <row r="95" spans="37:44" ht="18" customHeight="1" x14ac:dyDescent="0.2">
      <c r="AK95" s="33"/>
      <c r="AL95" s="34"/>
      <c r="AM95" s="34"/>
      <c r="AN95" s="34"/>
      <c r="AO95" s="34"/>
      <c r="AP95" s="34"/>
      <c r="AQ95" s="34"/>
      <c r="AR95" s="34"/>
    </row>
    <row r="96" spans="37:44" ht="18" customHeight="1" x14ac:dyDescent="0.2">
      <c r="AK96" s="33"/>
      <c r="AL96" s="34"/>
      <c r="AM96" s="34"/>
      <c r="AN96" s="34"/>
      <c r="AO96" s="34"/>
      <c r="AP96" s="34"/>
      <c r="AQ96" s="34"/>
      <c r="AR96" s="34"/>
    </row>
    <row r="97" spans="37:44" ht="18" customHeight="1" x14ac:dyDescent="0.2">
      <c r="AK97" s="33"/>
      <c r="AL97" s="34"/>
      <c r="AM97" s="34"/>
      <c r="AN97" s="34"/>
      <c r="AO97" s="34"/>
      <c r="AP97" s="34"/>
      <c r="AQ97" s="34"/>
      <c r="AR97" s="34"/>
    </row>
    <row r="98" spans="37:44" ht="18" customHeight="1" x14ac:dyDescent="0.2">
      <c r="AK98" s="33"/>
      <c r="AL98" s="34"/>
      <c r="AM98" s="34"/>
      <c r="AN98" s="34"/>
      <c r="AO98" s="34"/>
      <c r="AP98" s="34"/>
      <c r="AQ98" s="34"/>
      <c r="AR98" s="34"/>
    </row>
    <row r="99" spans="37:44" x14ac:dyDescent="0.2">
      <c r="AK99" s="33"/>
      <c r="AL99" s="34"/>
      <c r="AM99" s="34"/>
      <c r="AN99" s="34"/>
      <c r="AO99" s="34"/>
      <c r="AP99" s="34"/>
      <c r="AQ99" s="34"/>
      <c r="AR99" s="34"/>
    </row>
    <row r="100" spans="37:44" x14ac:dyDescent="0.2">
      <c r="AK100" s="33"/>
      <c r="AL100" s="34"/>
      <c r="AM100" s="34"/>
      <c r="AN100" s="34"/>
      <c r="AO100" s="34"/>
      <c r="AP100" s="34"/>
      <c r="AQ100" s="34"/>
      <c r="AR100" s="34"/>
    </row>
    <row r="101" spans="37:44" x14ac:dyDescent="0.2">
      <c r="AK101" s="33"/>
      <c r="AL101" s="34"/>
      <c r="AM101" s="34"/>
      <c r="AN101" s="34"/>
      <c r="AO101" s="34"/>
      <c r="AP101" s="34"/>
      <c r="AQ101" s="34"/>
      <c r="AR101" s="34"/>
    </row>
    <row r="102" spans="37:44" x14ac:dyDescent="0.2">
      <c r="AK102" s="33"/>
      <c r="AL102" s="34"/>
      <c r="AM102" s="34"/>
      <c r="AN102" s="34"/>
      <c r="AO102" s="34"/>
      <c r="AP102" s="34"/>
      <c r="AQ102" s="34"/>
      <c r="AR102" s="34"/>
    </row>
    <row r="103" spans="37:44" x14ac:dyDescent="0.2">
      <c r="AK103" s="33"/>
      <c r="AL103" s="34"/>
      <c r="AM103" s="34"/>
      <c r="AN103" s="34"/>
      <c r="AO103" s="34"/>
      <c r="AP103" s="34"/>
      <c r="AQ103" s="34"/>
      <c r="AR103" s="34"/>
    </row>
    <row r="104" spans="37:44" x14ac:dyDescent="0.2">
      <c r="AK104" s="33"/>
      <c r="AL104" s="34"/>
      <c r="AM104" s="34"/>
      <c r="AN104" s="34"/>
      <c r="AO104" s="34"/>
      <c r="AP104" s="34"/>
      <c r="AQ104" s="34"/>
      <c r="AR104" s="34"/>
    </row>
    <row r="105" spans="37:44" x14ac:dyDescent="0.2">
      <c r="AK105" s="33"/>
      <c r="AL105" s="34"/>
      <c r="AM105" s="34"/>
      <c r="AN105" s="34"/>
      <c r="AO105" s="34"/>
      <c r="AP105" s="34"/>
      <c r="AQ105" s="34"/>
      <c r="AR105" s="34"/>
    </row>
    <row r="106" spans="37:44" x14ac:dyDescent="0.2">
      <c r="AK106" s="33"/>
      <c r="AL106" s="34"/>
      <c r="AM106" s="34"/>
      <c r="AN106" s="34"/>
      <c r="AO106" s="34"/>
      <c r="AP106" s="34"/>
      <c r="AQ106" s="34"/>
      <c r="AR106" s="34"/>
    </row>
    <row r="107" spans="37:44" x14ac:dyDescent="0.2">
      <c r="AK107" s="33"/>
      <c r="AL107" s="34"/>
      <c r="AM107" s="34"/>
      <c r="AN107" s="34"/>
      <c r="AO107" s="34"/>
      <c r="AP107" s="34"/>
      <c r="AQ107" s="34"/>
      <c r="AR107" s="34"/>
    </row>
    <row r="108" spans="37:44" x14ac:dyDescent="0.2">
      <c r="AK108" s="33"/>
      <c r="AL108" s="34"/>
      <c r="AM108" s="34"/>
      <c r="AN108" s="34"/>
      <c r="AO108" s="34"/>
      <c r="AP108" s="34"/>
      <c r="AQ108" s="34"/>
      <c r="AR108" s="34"/>
    </row>
    <row r="109" spans="37:44" x14ac:dyDescent="0.2">
      <c r="AK109" s="33"/>
      <c r="AL109" s="34"/>
      <c r="AM109" s="34"/>
      <c r="AN109" s="34"/>
      <c r="AO109" s="34"/>
      <c r="AP109" s="34"/>
      <c r="AQ109" s="34"/>
      <c r="AR109" s="34"/>
    </row>
    <row r="110" spans="37:44" x14ac:dyDescent="0.2">
      <c r="AK110" s="33"/>
      <c r="AL110" s="34"/>
      <c r="AM110" s="34"/>
      <c r="AN110" s="34"/>
      <c r="AO110" s="34"/>
      <c r="AP110" s="34"/>
      <c r="AQ110" s="34"/>
      <c r="AR110" s="34"/>
    </row>
    <row r="111" spans="37:44" x14ac:dyDescent="0.2">
      <c r="AK111" s="33"/>
      <c r="AL111" s="34"/>
      <c r="AM111" s="34"/>
      <c r="AN111" s="34"/>
      <c r="AO111" s="34"/>
      <c r="AP111" s="34"/>
      <c r="AQ111" s="34"/>
      <c r="AR111" s="34"/>
    </row>
    <row r="112" spans="37:44" x14ac:dyDescent="0.2">
      <c r="AK112" s="33"/>
      <c r="AL112" s="34"/>
      <c r="AM112" s="34"/>
      <c r="AN112" s="34"/>
      <c r="AO112" s="34"/>
      <c r="AP112" s="34"/>
      <c r="AQ112" s="34"/>
      <c r="AR112" s="34"/>
    </row>
    <row r="113" spans="37:44" x14ac:dyDescent="0.2">
      <c r="AK113" s="33"/>
      <c r="AL113" s="34"/>
      <c r="AM113" s="34"/>
      <c r="AN113" s="34"/>
      <c r="AO113" s="34"/>
      <c r="AP113" s="34"/>
      <c r="AQ113" s="34"/>
      <c r="AR113" s="34"/>
    </row>
    <row r="114" spans="37:44" x14ac:dyDescent="0.2">
      <c r="AK114" s="33"/>
      <c r="AL114" s="34"/>
      <c r="AM114" s="34"/>
      <c r="AN114" s="34"/>
      <c r="AO114" s="34"/>
      <c r="AP114" s="34"/>
      <c r="AQ114" s="34"/>
      <c r="AR114" s="34"/>
    </row>
    <row r="115" spans="37:44" x14ac:dyDescent="0.2">
      <c r="AK115" s="33"/>
      <c r="AL115" s="34"/>
      <c r="AM115" s="34"/>
      <c r="AN115" s="34"/>
      <c r="AO115" s="34"/>
      <c r="AP115" s="34"/>
      <c r="AQ115" s="34"/>
      <c r="AR115" s="34"/>
    </row>
    <row r="116" spans="37:44" x14ac:dyDescent="0.2">
      <c r="AK116" s="33"/>
      <c r="AL116" s="34"/>
      <c r="AM116" s="34"/>
      <c r="AN116" s="34"/>
      <c r="AO116" s="34"/>
      <c r="AP116" s="34"/>
      <c r="AQ116" s="34"/>
      <c r="AR116" s="34"/>
    </row>
    <row r="117" spans="37:44" x14ac:dyDescent="0.2">
      <c r="AK117" s="33"/>
      <c r="AL117" s="34"/>
      <c r="AM117" s="34"/>
      <c r="AN117" s="34"/>
      <c r="AO117" s="34"/>
      <c r="AP117" s="34"/>
      <c r="AQ117" s="34"/>
      <c r="AR117" s="34"/>
    </row>
    <row r="118" spans="37:44" x14ac:dyDescent="0.2">
      <c r="AK118" s="33"/>
      <c r="AL118" s="34"/>
      <c r="AM118" s="34"/>
      <c r="AN118" s="34"/>
      <c r="AO118" s="34"/>
      <c r="AP118" s="34"/>
      <c r="AQ118" s="34"/>
      <c r="AR118" s="34"/>
    </row>
    <row r="119" spans="37:44" x14ac:dyDescent="0.2">
      <c r="AK119" s="33"/>
      <c r="AL119" s="34"/>
      <c r="AM119" s="34"/>
      <c r="AN119" s="34"/>
      <c r="AO119" s="34"/>
      <c r="AP119" s="34"/>
      <c r="AQ119" s="34"/>
      <c r="AR119" s="34"/>
    </row>
    <row r="120" spans="37:44" x14ac:dyDescent="0.2">
      <c r="AK120" s="33"/>
      <c r="AL120" s="34"/>
      <c r="AM120" s="34"/>
      <c r="AN120" s="34"/>
      <c r="AO120" s="34"/>
      <c r="AP120" s="34"/>
      <c r="AQ120" s="34"/>
      <c r="AR120" s="34"/>
    </row>
    <row r="121" spans="37:44" x14ac:dyDescent="0.2">
      <c r="AK121" s="33"/>
      <c r="AL121" s="34"/>
      <c r="AM121" s="34"/>
      <c r="AN121" s="34"/>
      <c r="AO121" s="34"/>
      <c r="AP121" s="34"/>
      <c r="AQ121" s="34"/>
      <c r="AR121" s="34"/>
    </row>
    <row r="122" spans="37:44" x14ac:dyDescent="0.2">
      <c r="AK122" s="33"/>
      <c r="AL122" s="34"/>
      <c r="AM122" s="34"/>
      <c r="AN122" s="34"/>
      <c r="AO122" s="34"/>
      <c r="AP122" s="34"/>
      <c r="AQ122" s="34"/>
      <c r="AR122" s="34"/>
    </row>
    <row r="123" spans="37:44" x14ac:dyDescent="0.2">
      <c r="AK123" s="33"/>
      <c r="AL123" s="34"/>
      <c r="AM123" s="34"/>
      <c r="AN123" s="34"/>
      <c r="AO123" s="34"/>
      <c r="AP123" s="34"/>
      <c r="AQ123" s="34"/>
      <c r="AR123" s="34"/>
    </row>
    <row r="124" spans="37:44" x14ac:dyDescent="0.2">
      <c r="AK124" s="33"/>
      <c r="AL124" s="34"/>
      <c r="AM124" s="34"/>
      <c r="AN124" s="34"/>
      <c r="AO124" s="34"/>
      <c r="AP124" s="34"/>
      <c r="AQ124" s="34"/>
      <c r="AR124" s="34"/>
    </row>
    <row r="125" spans="37:44" x14ac:dyDescent="0.2">
      <c r="AK125" s="33"/>
      <c r="AL125" s="34"/>
      <c r="AM125" s="34"/>
      <c r="AN125" s="34"/>
      <c r="AO125" s="34"/>
      <c r="AP125" s="34"/>
      <c r="AQ125" s="34"/>
      <c r="AR125" s="34"/>
    </row>
    <row r="126" spans="37:44" x14ac:dyDescent="0.2">
      <c r="AK126" s="33"/>
      <c r="AL126" s="34"/>
      <c r="AM126" s="34"/>
      <c r="AN126" s="34"/>
      <c r="AO126" s="34"/>
      <c r="AP126" s="34"/>
      <c r="AQ126" s="34"/>
      <c r="AR126" s="34"/>
    </row>
    <row r="127" spans="37:44" x14ac:dyDescent="0.2">
      <c r="AK127" s="33"/>
      <c r="AL127" s="34"/>
      <c r="AM127" s="34"/>
      <c r="AN127" s="34"/>
      <c r="AO127" s="34"/>
      <c r="AP127" s="34"/>
      <c r="AQ127" s="34"/>
      <c r="AR127" s="34"/>
    </row>
    <row r="128" spans="37:44" x14ac:dyDescent="0.2">
      <c r="AK128" s="33"/>
      <c r="AL128" s="34"/>
      <c r="AM128" s="34"/>
      <c r="AN128" s="34"/>
      <c r="AO128" s="34"/>
      <c r="AP128" s="34"/>
      <c r="AQ128" s="34"/>
      <c r="AR128" s="34"/>
    </row>
    <row r="129" spans="37:44" x14ac:dyDescent="0.2">
      <c r="AK129" s="33"/>
      <c r="AL129" s="34"/>
      <c r="AM129" s="34"/>
      <c r="AN129" s="34"/>
      <c r="AO129" s="34"/>
      <c r="AP129" s="34"/>
      <c r="AQ129" s="34"/>
      <c r="AR129" s="34"/>
    </row>
    <row r="130" spans="37:44" x14ac:dyDescent="0.2">
      <c r="AK130" s="33"/>
      <c r="AL130" s="34"/>
      <c r="AM130" s="34"/>
      <c r="AN130" s="34"/>
      <c r="AO130" s="34"/>
      <c r="AP130" s="34"/>
      <c r="AQ130" s="34"/>
      <c r="AR130" s="34"/>
    </row>
    <row r="131" spans="37:44" x14ac:dyDescent="0.2">
      <c r="AK131" s="33"/>
      <c r="AL131" s="34"/>
      <c r="AM131" s="34"/>
      <c r="AN131" s="34"/>
      <c r="AO131" s="34"/>
      <c r="AP131" s="34"/>
      <c r="AQ131" s="34"/>
      <c r="AR131" s="34"/>
    </row>
    <row r="132" spans="37:44" x14ac:dyDescent="0.2">
      <c r="AK132" s="33"/>
      <c r="AL132" s="34"/>
      <c r="AM132" s="34"/>
      <c r="AN132" s="34"/>
      <c r="AO132" s="34"/>
      <c r="AP132" s="34"/>
      <c r="AQ132" s="34"/>
      <c r="AR132" s="34"/>
    </row>
    <row r="133" spans="37:44" x14ac:dyDescent="0.2">
      <c r="AK133" s="33"/>
      <c r="AL133" s="34"/>
      <c r="AM133" s="34"/>
      <c r="AN133" s="34"/>
      <c r="AO133" s="34"/>
      <c r="AP133" s="34"/>
      <c r="AQ133" s="34"/>
      <c r="AR133" s="34"/>
    </row>
    <row r="134" spans="37:44" x14ac:dyDescent="0.2">
      <c r="AK134" s="33"/>
      <c r="AL134" s="34"/>
      <c r="AM134" s="34"/>
      <c r="AN134" s="34"/>
      <c r="AO134" s="34"/>
      <c r="AP134" s="34"/>
      <c r="AQ134" s="34"/>
      <c r="AR134" s="34"/>
    </row>
    <row r="135" spans="37:44" x14ac:dyDescent="0.2">
      <c r="AK135" s="33"/>
      <c r="AL135" s="34"/>
      <c r="AM135" s="34"/>
      <c r="AN135" s="34"/>
      <c r="AO135" s="34"/>
      <c r="AP135" s="34"/>
      <c r="AQ135" s="34"/>
      <c r="AR135" s="34"/>
    </row>
    <row r="136" spans="37:44" x14ac:dyDescent="0.2">
      <c r="AK136" s="33"/>
      <c r="AL136" s="34"/>
      <c r="AM136" s="34"/>
      <c r="AN136" s="34"/>
      <c r="AO136" s="34"/>
      <c r="AP136" s="34"/>
      <c r="AQ136" s="34"/>
      <c r="AR136" s="34"/>
    </row>
    <row r="137" spans="37:44" x14ac:dyDescent="0.2">
      <c r="AK137" s="33"/>
      <c r="AL137" s="34"/>
      <c r="AM137" s="34"/>
      <c r="AN137" s="34"/>
      <c r="AO137" s="34"/>
      <c r="AP137" s="34"/>
      <c r="AQ137" s="34"/>
      <c r="AR137" s="34"/>
    </row>
    <row r="138" spans="37:44" x14ac:dyDescent="0.2">
      <c r="AK138" s="33"/>
      <c r="AL138" s="34"/>
      <c r="AM138" s="34"/>
      <c r="AN138" s="34"/>
      <c r="AO138" s="34"/>
      <c r="AP138" s="34"/>
      <c r="AQ138" s="34"/>
      <c r="AR138" s="34"/>
    </row>
    <row r="139" spans="37:44" x14ac:dyDescent="0.2">
      <c r="AK139" s="33"/>
      <c r="AL139" s="34"/>
      <c r="AM139" s="34"/>
      <c r="AN139" s="34"/>
      <c r="AO139" s="34"/>
      <c r="AP139" s="34"/>
      <c r="AQ139" s="34"/>
      <c r="AR139" s="34"/>
    </row>
    <row r="140" spans="37:44" x14ac:dyDescent="0.2">
      <c r="AK140" s="33"/>
      <c r="AL140" s="34"/>
      <c r="AM140" s="34"/>
      <c r="AN140" s="34"/>
      <c r="AO140" s="34"/>
      <c r="AP140" s="34"/>
      <c r="AQ140" s="34"/>
      <c r="AR140" s="34"/>
    </row>
    <row r="141" spans="37:44" x14ac:dyDescent="0.2">
      <c r="AK141" s="33"/>
      <c r="AL141" s="34"/>
      <c r="AM141" s="34"/>
      <c r="AN141" s="34"/>
      <c r="AO141" s="34"/>
      <c r="AP141" s="34"/>
      <c r="AQ141" s="34"/>
      <c r="AR141" s="34"/>
    </row>
    <row r="142" spans="37:44" x14ac:dyDescent="0.2">
      <c r="AK142" s="33"/>
      <c r="AL142" s="34"/>
      <c r="AM142" s="34"/>
      <c r="AN142" s="34"/>
      <c r="AO142" s="34"/>
      <c r="AP142" s="34"/>
      <c r="AQ142" s="34"/>
      <c r="AR142" s="34"/>
    </row>
    <row r="143" spans="37:44" x14ac:dyDescent="0.2">
      <c r="AK143" s="33"/>
      <c r="AL143" s="34"/>
      <c r="AM143" s="34"/>
      <c r="AN143" s="34"/>
      <c r="AO143" s="34"/>
      <c r="AP143" s="34"/>
      <c r="AQ143" s="34"/>
      <c r="AR143" s="34"/>
    </row>
    <row r="144" spans="37:44" x14ac:dyDescent="0.2">
      <c r="AK144" s="33"/>
      <c r="AL144" s="34"/>
      <c r="AM144" s="34"/>
      <c r="AN144" s="34"/>
      <c r="AO144" s="34"/>
      <c r="AP144" s="34"/>
      <c r="AQ144" s="34"/>
      <c r="AR144" s="34"/>
    </row>
    <row r="145" spans="37:44" x14ac:dyDescent="0.2">
      <c r="AK145" s="33"/>
      <c r="AL145" s="34"/>
      <c r="AM145" s="34"/>
      <c r="AN145" s="34"/>
      <c r="AO145" s="34"/>
      <c r="AP145" s="34"/>
      <c r="AQ145" s="34"/>
      <c r="AR145" s="34"/>
    </row>
    <row r="146" spans="37:44" x14ac:dyDescent="0.2">
      <c r="AK146" s="33"/>
      <c r="AL146" s="34"/>
      <c r="AM146" s="34"/>
      <c r="AN146" s="34"/>
      <c r="AO146" s="34"/>
      <c r="AP146" s="34"/>
      <c r="AQ146" s="34"/>
      <c r="AR146" s="34"/>
    </row>
    <row r="147" spans="37:44" x14ac:dyDescent="0.2">
      <c r="AK147" s="33"/>
      <c r="AL147" s="34"/>
      <c r="AM147" s="34"/>
      <c r="AN147" s="34"/>
      <c r="AO147" s="34"/>
      <c r="AP147" s="34"/>
      <c r="AQ147" s="34"/>
      <c r="AR147" s="34"/>
    </row>
    <row r="148" spans="37:44" x14ac:dyDescent="0.2">
      <c r="AK148" s="33"/>
      <c r="AL148" s="34"/>
      <c r="AM148" s="34"/>
      <c r="AN148" s="34"/>
      <c r="AO148" s="34"/>
      <c r="AP148" s="34"/>
      <c r="AQ148" s="34"/>
      <c r="AR148" s="34"/>
    </row>
    <row r="149" spans="37:44" x14ac:dyDescent="0.2">
      <c r="AK149" s="33"/>
      <c r="AL149" s="34"/>
      <c r="AM149" s="34"/>
      <c r="AN149" s="34"/>
      <c r="AO149" s="34"/>
      <c r="AP149" s="34"/>
      <c r="AQ149" s="34"/>
      <c r="AR149" s="34"/>
    </row>
    <row r="150" spans="37:44" x14ac:dyDescent="0.2">
      <c r="AK150" s="33"/>
      <c r="AL150" s="34"/>
      <c r="AM150" s="34"/>
      <c r="AN150" s="34"/>
      <c r="AO150" s="34"/>
      <c r="AP150" s="34"/>
      <c r="AQ150" s="34"/>
      <c r="AR150" s="34"/>
    </row>
    <row r="151" spans="37:44" x14ac:dyDescent="0.2">
      <c r="AK151" s="33"/>
      <c r="AL151" s="34"/>
      <c r="AM151" s="34"/>
      <c r="AN151" s="34"/>
      <c r="AO151" s="34"/>
      <c r="AP151" s="34"/>
      <c r="AQ151" s="34"/>
      <c r="AR151" s="34"/>
    </row>
    <row r="152" spans="37:44" x14ac:dyDescent="0.2">
      <c r="AK152" s="33"/>
      <c r="AL152" s="34"/>
      <c r="AM152" s="34"/>
      <c r="AN152" s="34"/>
      <c r="AO152" s="34"/>
      <c r="AP152" s="34"/>
      <c r="AQ152" s="34"/>
      <c r="AR152" s="34"/>
    </row>
    <row r="153" spans="37:44" x14ac:dyDescent="0.2">
      <c r="AK153" s="33"/>
      <c r="AL153" s="34"/>
      <c r="AM153" s="34"/>
      <c r="AN153" s="34"/>
      <c r="AO153" s="34"/>
      <c r="AP153" s="34"/>
      <c r="AQ153" s="34"/>
      <c r="AR153" s="34"/>
    </row>
    <row r="154" spans="37:44" x14ac:dyDescent="0.2">
      <c r="AK154" s="33"/>
      <c r="AL154" s="34"/>
      <c r="AM154" s="34"/>
      <c r="AN154" s="34"/>
      <c r="AO154" s="34"/>
      <c r="AP154" s="34"/>
      <c r="AQ154" s="34"/>
      <c r="AR154" s="34"/>
    </row>
    <row r="155" spans="37:44" x14ac:dyDescent="0.2">
      <c r="AK155" s="33"/>
      <c r="AL155" s="34"/>
      <c r="AM155" s="34"/>
      <c r="AN155" s="34"/>
      <c r="AO155" s="34"/>
      <c r="AP155" s="34"/>
      <c r="AQ155" s="34"/>
      <c r="AR155" s="34"/>
    </row>
    <row r="156" spans="37:44" x14ac:dyDescent="0.2">
      <c r="AK156" s="33"/>
      <c r="AL156" s="34"/>
      <c r="AM156" s="34"/>
      <c r="AN156" s="34"/>
      <c r="AO156" s="34"/>
      <c r="AP156" s="34"/>
      <c r="AQ156" s="34"/>
      <c r="AR156" s="34"/>
    </row>
    <row r="157" spans="37:44" x14ac:dyDescent="0.2">
      <c r="AK157" s="33"/>
      <c r="AL157" s="34"/>
      <c r="AM157" s="34"/>
      <c r="AN157" s="34"/>
      <c r="AO157" s="34"/>
      <c r="AP157" s="34"/>
      <c r="AQ157" s="34"/>
      <c r="AR157" s="34"/>
    </row>
    <row r="158" spans="37:44" x14ac:dyDescent="0.2">
      <c r="AK158" s="33"/>
      <c r="AL158" s="34"/>
      <c r="AM158" s="34"/>
      <c r="AN158" s="34"/>
      <c r="AO158" s="34"/>
      <c r="AP158" s="34"/>
      <c r="AQ158" s="34"/>
      <c r="AR158" s="34"/>
    </row>
    <row r="159" spans="37:44" x14ac:dyDescent="0.2">
      <c r="AK159" s="33"/>
      <c r="AL159" s="34"/>
      <c r="AM159" s="34"/>
      <c r="AN159" s="34"/>
      <c r="AO159" s="34"/>
      <c r="AP159" s="34"/>
      <c r="AQ159" s="34"/>
      <c r="AR159" s="34"/>
    </row>
    <row r="160" spans="37:44" x14ac:dyDescent="0.2">
      <c r="AK160" s="33"/>
      <c r="AL160" s="34"/>
      <c r="AM160" s="34"/>
      <c r="AN160" s="34"/>
      <c r="AO160" s="34"/>
      <c r="AP160" s="34"/>
      <c r="AQ160" s="34"/>
      <c r="AR160" s="34"/>
    </row>
    <row r="161" spans="37:44" x14ac:dyDescent="0.2">
      <c r="AK161" s="33"/>
      <c r="AL161" s="34"/>
      <c r="AM161" s="34"/>
      <c r="AN161" s="34"/>
      <c r="AO161" s="34"/>
      <c r="AP161" s="34"/>
      <c r="AQ161" s="34"/>
      <c r="AR161" s="34"/>
    </row>
    <row r="162" spans="37:44" x14ac:dyDescent="0.2">
      <c r="AK162" s="33"/>
      <c r="AL162" s="34"/>
      <c r="AM162" s="34"/>
      <c r="AN162" s="34"/>
      <c r="AO162" s="34"/>
      <c r="AP162" s="34"/>
      <c r="AQ162" s="34"/>
      <c r="AR162" s="34"/>
    </row>
    <row r="163" spans="37:44" x14ac:dyDescent="0.2">
      <c r="AK163" s="33"/>
      <c r="AL163" s="34"/>
      <c r="AM163" s="34"/>
      <c r="AN163" s="34"/>
      <c r="AO163" s="34"/>
      <c r="AP163" s="34"/>
      <c r="AQ163" s="34"/>
      <c r="AR163" s="34"/>
    </row>
    <row r="164" spans="37:44" x14ac:dyDescent="0.2">
      <c r="AK164" s="33"/>
      <c r="AL164" s="34"/>
      <c r="AM164" s="34"/>
      <c r="AN164" s="34"/>
      <c r="AO164" s="34"/>
      <c r="AP164" s="34"/>
      <c r="AQ164" s="34"/>
      <c r="AR164" s="34"/>
    </row>
    <row r="165" spans="37:44" x14ac:dyDescent="0.2">
      <c r="AK165" s="33"/>
      <c r="AL165" s="34"/>
      <c r="AM165" s="34"/>
      <c r="AN165" s="34"/>
      <c r="AO165" s="34"/>
      <c r="AP165" s="34"/>
      <c r="AQ165" s="34"/>
      <c r="AR165" s="34"/>
    </row>
    <row r="166" spans="37:44" x14ac:dyDescent="0.2">
      <c r="AK166" s="33"/>
      <c r="AL166" s="34"/>
      <c r="AM166" s="34"/>
      <c r="AN166" s="34"/>
      <c r="AO166" s="34"/>
      <c r="AP166" s="34"/>
      <c r="AQ166" s="34"/>
      <c r="AR166" s="34"/>
    </row>
    <row r="167" spans="37:44" x14ac:dyDescent="0.2">
      <c r="AK167" s="33"/>
      <c r="AL167" s="34"/>
      <c r="AM167" s="34"/>
      <c r="AN167" s="34"/>
      <c r="AO167" s="34"/>
      <c r="AP167" s="34"/>
      <c r="AQ167" s="34"/>
      <c r="AR167" s="34"/>
    </row>
    <row r="168" spans="37:44" x14ac:dyDescent="0.2">
      <c r="AK168" s="33"/>
      <c r="AL168" s="34"/>
      <c r="AM168" s="34"/>
      <c r="AN168" s="34"/>
      <c r="AO168" s="34"/>
      <c r="AP168" s="34"/>
      <c r="AQ168" s="34"/>
      <c r="AR168" s="34"/>
    </row>
    <row r="169" spans="37:44" x14ac:dyDescent="0.2">
      <c r="AK169" s="33"/>
      <c r="AL169" s="34"/>
      <c r="AM169" s="34"/>
      <c r="AN169" s="34"/>
      <c r="AO169" s="34"/>
      <c r="AP169" s="34"/>
      <c r="AQ169" s="34"/>
      <c r="AR169" s="34"/>
    </row>
    <row r="170" spans="37:44" x14ac:dyDescent="0.2">
      <c r="AK170" s="33"/>
      <c r="AL170" s="34"/>
      <c r="AM170" s="34"/>
      <c r="AN170" s="34"/>
      <c r="AO170" s="34"/>
      <c r="AP170" s="34"/>
      <c r="AQ170" s="34"/>
      <c r="AR170" s="34"/>
    </row>
    <row r="171" spans="37:44" x14ac:dyDescent="0.2">
      <c r="AK171" s="33"/>
      <c r="AL171" s="34"/>
      <c r="AM171" s="34"/>
      <c r="AN171" s="34"/>
      <c r="AO171" s="34"/>
      <c r="AP171" s="34"/>
      <c r="AQ171" s="34"/>
      <c r="AR171" s="34"/>
    </row>
    <row r="172" spans="37:44" x14ac:dyDescent="0.2">
      <c r="AK172" s="33"/>
      <c r="AL172" s="34"/>
      <c r="AM172" s="34"/>
      <c r="AN172" s="34"/>
      <c r="AO172" s="34"/>
      <c r="AP172" s="34"/>
      <c r="AQ172" s="34"/>
      <c r="AR172" s="34"/>
    </row>
    <row r="173" spans="37:44" x14ac:dyDescent="0.2">
      <c r="AK173" s="33"/>
      <c r="AL173" s="34"/>
      <c r="AM173" s="34"/>
      <c r="AN173" s="34"/>
      <c r="AO173" s="34"/>
      <c r="AP173" s="34"/>
      <c r="AQ173" s="34"/>
      <c r="AR173" s="34"/>
    </row>
    <row r="174" spans="37:44" x14ac:dyDescent="0.2">
      <c r="AK174" s="33"/>
      <c r="AL174" s="34"/>
      <c r="AM174" s="34"/>
      <c r="AN174" s="34"/>
      <c r="AO174" s="34"/>
      <c r="AP174" s="34"/>
      <c r="AQ174" s="34"/>
      <c r="AR174" s="34"/>
    </row>
    <row r="175" spans="37:44" x14ac:dyDescent="0.2">
      <c r="AK175" s="33"/>
      <c r="AL175" s="34"/>
      <c r="AM175" s="34"/>
      <c r="AN175" s="34"/>
      <c r="AO175" s="34"/>
      <c r="AP175" s="34"/>
      <c r="AQ175" s="34"/>
      <c r="AR175" s="34"/>
    </row>
    <row r="176" spans="37:44" x14ac:dyDescent="0.2">
      <c r="AK176" s="33"/>
      <c r="AL176" s="34"/>
      <c r="AM176" s="34"/>
      <c r="AN176" s="34"/>
      <c r="AO176" s="34"/>
      <c r="AP176" s="34"/>
      <c r="AQ176" s="34"/>
      <c r="AR176" s="34"/>
    </row>
    <row r="177" spans="37:44" x14ac:dyDescent="0.2">
      <c r="AK177" s="33"/>
      <c r="AL177" s="34"/>
      <c r="AM177" s="34"/>
      <c r="AN177" s="34"/>
      <c r="AO177" s="34"/>
      <c r="AP177" s="34"/>
      <c r="AQ177" s="34"/>
      <c r="AR177" s="34"/>
    </row>
    <row r="178" spans="37:44" x14ac:dyDescent="0.2">
      <c r="AK178" s="33"/>
      <c r="AL178" s="34"/>
      <c r="AM178" s="34"/>
      <c r="AN178" s="34"/>
      <c r="AO178" s="34"/>
      <c r="AP178" s="34"/>
      <c r="AQ178" s="34"/>
      <c r="AR178" s="34"/>
    </row>
    <row r="179" spans="37:44" x14ac:dyDescent="0.2">
      <c r="AK179" s="33"/>
      <c r="AL179" s="34"/>
      <c r="AM179" s="34"/>
      <c r="AN179" s="34"/>
      <c r="AO179" s="34"/>
      <c r="AP179" s="34"/>
      <c r="AQ179" s="34"/>
      <c r="AR179" s="34"/>
    </row>
    <row r="180" spans="37:44" x14ac:dyDescent="0.2">
      <c r="AK180" s="33"/>
      <c r="AL180" s="34"/>
      <c r="AM180" s="34"/>
      <c r="AN180" s="34"/>
      <c r="AO180" s="34"/>
      <c r="AP180" s="34"/>
      <c r="AQ180" s="34"/>
      <c r="AR180" s="34"/>
    </row>
    <row r="181" spans="37:44" x14ac:dyDescent="0.2">
      <c r="AK181" s="33"/>
      <c r="AL181" s="34"/>
      <c r="AM181" s="34"/>
      <c r="AN181" s="34"/>
      <c r="AO181" s="34"/>
      <c r="AP181" s="34"/>
      <c r="AQ181" s="34"/>
      <c r="AR181" s="34"/>
    </row>
    <row r="182" spans="37:44" x14ac:dyDescent="0.2">
      <c r="AK182" s="33"/>
      <c r="AL182" s="34"/>
      <c r="AM182" s="34"/>
      <c r="AN182" s="34"/>
      <c r="AO182" s="34"/>
      <c r="AP182" s="34"/>
      <c r="AQ182" s="34"/>
      <c r="AR182" s="34"/>
    </row>
    <row r="183" spans="37:44" x14ac:dyDescent="0.2">
      <c r="AK183" s="33"/>
      <c r="AL183" s="34"/>
      <c r="AM183" s="34"/>
      <c r="AN183" s="34"/>
      <c r="AO183" s="34"/>
      <c r="AP183" s="34"/>
      <c r="AQ183" s="34"/>
      <c r="AR183" s="34"/>
    </row>
    <row r="184" spans="37:44" x14ac:dyDescent="0.2">
      <c r="AK184" s="33"/>
    </row>
    <row r="185" spans="37:44" x14ac:dyDescent="0.2">
      <c r="AK185" s="33"/>
    </row>
    <row r="186" spans="37:44" x14ac:dyDescent="0.2">
      <c r="AK186" s="33"/>
    </row>
    <row r="187" spans="37:44" x14ac:dyDescent="0.2">
      <c r="AK187" s="33"/>
    </row>
    <row r="188" spans="37:44" x14ac:dyDescent="0.2">
      <c r="AK188" s="33"/>
    </row>
    <row r="189" spans="37:44" x14ac:dyDescent="0.2">
      <c r="AK189" s="33"/>
    </row>
    <row r="190" spans="37:44" x14ac:dyDescent="0.2">
      <c r="AK190" s="33"/>
    </row>
    <row r="191" spans="37:44" x14ac:dyDescent="0.2">
      <c r="AK191" s="33"/>
    </row>
    <row r="192" spans="37:44" x14ac:dyDescent="0.2">
      <c r="AK192" s="33"/>
    </row>
    <row r="193" spans="37:37" x14ac:dyDescent="0.2">
      <c r="AK193" s="33"/>
    </row>
    <row r="196" spans="37:37" x14ac:dyDescent="0.2">
      <c r="AK196" s="33"/>
    </row>
    <row r="197" spans="37:37" x14ac:dyDescent="0.2">
      <c r="AK197" s="33"/>
    </row>
  </sheetData>
  <mergeCells count="4">
    <mergeCell ref="B1:AB1"/>
    <mergeCell ref="W3:AB3"/>
    <mergeCell ref="B3:D3"/>
    <mergeCell ref="F3:U3"/>
  </mergeCells>
  <phoneticPr fontId="2" type="noConversion"/>
  <pageMargins left="0.98425196850393704" right="0.39370078740157483" top="0.78740157480314965" bottom="0.98425196850393704" header="0.39370078740157483" footer="0.39370078740157483"/>
  <pageSetup paperSize="9" scale="33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indexed="16"/>
    <pageSetUpPr fitToPage="1"/>
  </sheetPr>
  <dimension ref="A1:G9"/>
  <sheetViews>
    <sheetView workbookViewId="0">
      <selection activeCell="H5" sqref="H5"/>
    </sheetView>
  </sheetViews>
  <sheetFormatPr defaultColWidth="9.109375" defaultRowHeight="12.6" x14ac:dyDescent="0.2"/>
  <cols>
    <col min="1" max="1" width="12.33203125" style="10" customWidth="1"/>
    <col min="2" max="2" width="14.88671875" style="10" customWidth="1"/>
    <col min="3" max="3" width="13.6640625" style="10" customWidth="1"/>
    <col min="4" max="4" width="13.33203125" style="10" customWidth="1"/>
    <col min="5" max="5" width="13.109375" style="10" customWidth="1"/>
    <col min="6" max="6" width="12.109375" style="10" customWidth="1"/>
    <col min="7" max="7" width="15.6640625" style="10" customWidth="1"/>
    <col min="8" max="16384" width="9.109375" style="10"/>
  </cols>
  <sheetData>
    <row r="1" spans="1:7" ht="24.6" x14ac:dyDescent="0.2">
      <c r="A1" s="364" t="s">
        <v>103</v>
      </c>
      <c r="B1" s="365"/>
      <c r="C1" s="365"/>
      <c r="D1" s="365"/>
      <c r="E1" s="365"/>
      <c r="F1" s="365"/>
      <c r="G1" s="366"/>
    </row>
    <row r="2" spans="1:7" x14ac:dyDescent="0.2">
      <c r="A2" s="41"/>
      <c r="G2" s="47"/>
    </row>
    <row r="3" spans="1:7" x14ac:dyDescent="0.2">
      <c r="A3" s="41"/>
      <c r="G3" s="47"/>
    </row>
    <row r="4" spans="1:7" x14ac:dyDescent="0.2">
      <c r="A4" s="135"/>
      <c r="B4" s="42"/>
      <c r="C4" s="42"/>
      <c r="D4" s="42"/>
      <c r="E4" s="42"/>
      <c r="F4" s="42"/>
      <c r="G4" s="43"/>
    </row>
    <row r="5" spans="1:7" ht="50.4" x14ac:dyDescent="0.2">
      <c r="A5" s="14" t="s">
        <v>15</v>
      </c>
      <c r="B5" s="49" t="s">
        <v>104</v>
      </c>
      <c r="C5" s="49" t="s">
        <v>7</v>
      </c>
      <c r="D5" s="14" t="s">
        <v>63</v>
      </c>
      <c r="E5" s="14" t="s">
        <v>64</v>
      </c>
      <c r="F5" s="14" t="s">
        <v>105</v>
      </c>
      <c r="G5" s="14" t="s">
        <v>106</v>
      </c>
    </row>
    <row r="6" spans="1:7" x14ac:dyDescent="0.2">
      <c r="A6" s="333"/>
      <c r="B6" s="63"/>
      <c r="C6" s="63">
        <f>B6</f>
        <v>0</v>
      </c>
      <c r="D6" s="334">
        <v>1</v>
      </c>
      <c r="E6" s="63">
        <f>C6*D6</f>
        <v>0</v>
      </c>
      <c r="F6" s="149"/>
      <c r="G6" s="64">
        <f>E6*F6</f>
        <v>0</v>
      </c>
    </row>
    <row r="7" spans="1:7" x14ac:dyDescent="0.2">
      <c r="A7" s="41"/>
      <c r="G7" s="47"/>
    </row>
    <row r="8" spans="1:7" x14ac:dyDescent="0.2">
      <c r="A8" s="41"/>
      <c r="G8" s="47"/>
    </row>
    <row r="9" spans="1:7" ht="19.8" x14ac:dyDescent="0.2">
      <c r="A9" s="316"/>
      <c r="B9" s="149"/>
      <c r="C9" s="6" t="s">
        <v>65</v>
      </c>
      <c r="D9" s="6"/>
      <c r="E9" s="160">
        <f>SUM(E6:E7)</f>
        <v>0</v>
      </c>
      <c r="F9" s="36"/>
      <c r="G9" s="5">
        <f>SUM(G6:G7)</f>
        <v>0</v>
      </c>
    </row>
  </sheetData>
  <mergeCells count="1">
    <mergeCell ref="A1:G1"/>
  </mergeCells>
  <phoneticPr fontId="2" type="noConversion"/>
  <pageMargins left="0.98425196850393704" right="0.39370078740157483" top="0.78740157480314965" bottom="0.98425196850393704" header="0.39370078740157483" footer="0.39370078740157483"/>
  <pageSetup paperSize="9" scale="94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indexed="12"/>
  </sheetPr>
  <dimension ref="A1:D139"/>
  <sheetViews>
    <sheetView workbookViewId="0">
      <selection activeCell="B36" sqref="B36"/>
    </sheetView>
  </sheetViews>
  <sheetFormatPr defaultColWidth="9.109375" defaultRowHeight="12.6" x14ac:dyDescent="0.2"/>
  <cols>
    <col min="1" max="1" width="9.109375" style="37"/>
    <col min="2" max="2" width="9.109375" style="180"/>
    <col min="3" max="3" width="9.109375" style="37"/>
    <col min="4" max="4" width="9.109375" style="180"/>
    <col min="5" max="16384" width="9.109375" style="37"/>
  </cols>
  <sheetData>
    <row r="1" spans="1:4" x14ac:dyDescent="0.2">
      <c r="A1" s="187">
        <v>39448</v>
      </c>
      <c r="C1" s="37" t="s">
        <v>8</v>
      </c>
    </row>
    <row r="2" spans="1:4" x14ac:dyDescent="0.2">
      <c r="A2" s="187">
        <v>39479</v>
      </c>
      <c r="C2" s="187">
        <v>39783</v>
      </c>
    </row>
    <row r="3" spans="1:4" x14ac:dyDescent="0.2">
      <c r="A3" s="187">
        <v>39508</v>
      </c>
      <c r="C3" s="187">
        <v>40148</v>
      </c>
      <c r="D3" s="180">
        <v>92.44</v>
      </c>
    </row>
    <row r="4" spans="1:4" x14ac:dyDescent="0.2">
      <c r="A4" s="187">
        <v>39539</v>
      </c>
      <c r="C4" s="187">
        <v>40513</v>
      </c>
      <c r="D4" s="180">
        <v>83.07</v>
      </c>
    </row>
    <row r="5" spans="1:4" x14ac:dyDescent="0.2">
      <c r="A5" s="187">
        <v>39569</v>
      </c>
      <c r="C5" s="187">
        <v>40878</v>
      </c>
      <c r="D5" s="180">
        <v>72.03</v>
      </c>
    </row>
    <row r="6" spans="1:4" x14ac:dyDescent="0.2">
      <c r="A6" s="187">
        <v>39600</v>
      </c>
      <c r="C6" s="187">
        <v>41244</v>
      </c>
      <c r="D6" s="180">
        <v>63.86</v>
      </c>
    </row>
    <row r="7" spans="1:4" x14ac:dyDescent="0.2">
      <c r="A7" s="187">
        <v>39630</v>
      </c>
      <c r="C7" s="187">
        <v>41609</v>
      </c>
      <c r="D7" s="180">
        <v>55.94</v>
      </c>
    </row>
    <row r="8" spans="1:4" x14ac:dyDescent="0.2">
      <c r="A8" s="187">
        <v>39661</v>
      </c>
      <c r="C8" s="187">
        <v>41974</v>
      </c>
      <c r="D8" s="180">
        <v>45.54</v>
      </c>
    </row>
    <row r="9" spans="1:4" x14ac:dyDescent="0.2">
      <c r="A9" s="187">
        <v>39692</v>
      </c>
      <c r="C9" s="187">
        <v>42339</v>
      </c>
      <c r="D9" s="180">
        <v>33</v>
      </c>
    </row>
    <row r="10" spans="1:4" x14ac:dyDescent="0.2">
      <c r="A10" s="187">
        <v>39722</v>
      </c>
      <c r="C10" s="187">
        <v>42705</v>
      </c>
      <c r="D10" s="180">
        <v>19.8</v>
      </c>
    </row>
    <row r="11" spans="1:4" x14ac:dyDescent="0.2">
      <c r="A11" s="187">
        <v>39753</v>
      </c>
      <c r="C11" s="187">
        <v>43070</v>
      </c>
      <c r="D11" s="180">
        <v>10.27</v>
      </c>
    </row>
    <row r="12" spans="1:4" x14ac:dyDescent="0.2">
      <c r="A12" s="187">
        <v>39783</v>
      </c>
      <c r="C12" s="187">
        <v>43435</v>
      </c>
      <c r="D12" s="180">
        <v>4.03</v>
      </c>
    </row>
    <row r="13" spans="1:4" x14ac:dyDescent="0.2">
      <c r="A13" s="187">
        <v>39814</v>
      </c>
    </row>
    <row r="14" spans="1:4" x14ac:dyDescent="0.2">
      <c r="A14" s="187">
        <v>39845</v>
      </c>
    </row>
    <row r="15" spans="1:4" x14ac:dyDescent="0.2">
      <c r="A15" s="187">
        <v>39873</v>
      </c>
      <c r="B15" s="180">
        <v>98.22</v>
      </c>
    </row>
    <row r="16" spans="1:4" x14ac:dyDescent="0.2">
      <c r="A16" s="187">
        <v>39904</v>
      </c>
      <c r="B16" s="180">
        <v>97.45</v>
      </c>
    </row>
    <row r="17" spans="1:2" x14ac:dyDescent="0.2">
      <c r="A17" s="187">
        <v>39934</v>
      </c>
      <c r="B17" s="180">
        <v>96.69</v>
      </c>
    </row>
    <row r="18" spans="1:2" x14ac:dyDescent="0.2">
      <c r="A18" s="187">
        <v>39965</v>
      </c>
      <c r="B18" s="180">
        <v>95.9</v>
      </c>
    </row>
    <row r="19" spans="1:2" x14ac:dyDescent="0.2">
      <c r="A19" s="187">
        <v>39995</v>
      </c>
      <c r="B19" s="180">
        <v>95.21</v>
      </c>
    </row>
    <row r="20" spans="1:2" x14ac:dyDescent="0.2">
      <c r="A20" s="187">
        <v>40026</v>
      </c>
      <c r="B20" s="180">
        <v>94.52</v>
      </c>
    </row>
    <row r="21" spans="1:2" x14ac:dyDescent="0.2">
      <c r="A21" s="187">
        <v>40057</v>
      </c>
      <c r="B21" s="180">
        <v>93.83</v>
      </c>
    </row>
    <row r="22" spans="1:2" x14ac:dyDescent="0.2">
      <c r="A22" s="187">
        <v>40087</v>
      </c>
      <c r="B22" s="180">
        <v>93.17</v>
      </c>
    </row>
    <row r="23" spans="1:2" x14ac:dyDescent="0.2">
      <c r="A23" s="187">
        <v>40118</v>
      </c>
      <c r="B23" s="180">
        <v>92.44</v>
      </c>
    </row>
    <row r="24" spans="1:2" x14ac:dyDescent="0.2">
      <c r="A24" s="187">
        <v>40148</v>
      </c>
      <c r="B24" s="180">
        <v>91.78</v>
      </c>
    </row>
    <row r="25" spans="1:2" x14ac:dyDescent="0.2">
      <c r="A25" s="187">
        <v>40179</v>
      </c>
      <c r="B25" s="180">
        <v>91.19</v>
      </c>
    </row>
    <row r="26" spans="1:2" x14ac:dyDescent="0.2">
      <c r="A26" s="187">
        <v>40210</v>
      </c>
      <c r="B26" s="180">
        <v>90.43</v>
      </c>
    </row>
    <row r="27" spans="1:2" x14ac:dyDescent="0.2">
      <c r="A27" s="187">
        <v>40238</v>
      </c>
      <c r="B27" s="180">
        <v>89.76</v>
      </c>
    </row>
    <row r="28" spans="1:2" x14ac:dyDescent="0.2">
      <c r="A28" s="187">
        <v>40269</v>
      </c>
      <c r="B28" s="180">
        <v>89.01</v>
      </c>
    </row>
    <row r="29" spans="1:2" x14ac:dyDescent="0.2">
      <c r="A29" s="187">
        <v>40299</v>
      </c>
      <c r="B29" s="180">
        <v>88.22</v>
      </c>
    </row>
    <row r="30" spans="1:2" x14ac:dyDescent="0.2">
      <c r="A30" s="187">
        <v>40330</v>
      </c>
      <c r="B30" s="180">
        <v>87.36</v>
      </c>
    </row>
    <row r="31" spans="1:2" x14ac:dyDescent="0.2">
      <c r="A31" s="187">
        <v>40360</v>
      </c>
      <c r="B31" s="180">
        <v>86.47</v>
      </c>
    </row>
    <row r="32" spans="1:2" x14ac:dyDescent="0.2">
      <c r="A32" s="187">
        <v>40391</v>
      </c>
      <c r="B32" s="180">
        <v>85.62</v>
      </c>
    </row>
    <row r="33" spans="1:2" x14ac:dyDescent="0.2">
      <c r="A33" s="187">
        <v>40422</v>
      </c>
      <c r="B33" s="180">
        <v>84.81</v>
      </c>
    </row>
    <row r="34" spans="1:2" x14ac:dyDescent="0.2">
      <c r="A34" s="187">
        <v>40452</v>
      </c>
      <c r="B34" s="180">
        <v>84</v>
      </c>
    </row>
    <row r="35" spans="1:2" x14ac:dyDescent="0.2">
      <c r="A35" s="187">
        <v>40483</v>
      </c>
      <c r="B35" s="180">
        <v>83.07</v>
      </c>
    </row>
    <row r="36" spans="1:2" x14ac:dyDescent="0.2">
      <c r="A36" s="187">
        <v>40513</v>
      </c>
      <c r="B36" s="180">
        <v>82.21</v>
      </c>
    </row>
    <row r="37" spans="1:2" x14ac:dyDescent="0.2">
      <c r="A37" s="187">
        <v>40544</v>
      </c>
      <c r="B37" s="180">
        <v>81.37</v>
      </c>
    </row>
    <row r="38" spans="1:2" x14ac:dyDescent="0.2">
      <c r="A38" s="187">
        <v>40575</v>
      </c>
      <c r="B38" s="180">
        <v>80.45</v>
      </c>
    </row>
    <row r="39" spans="1:2" x14ac:dyDescent="0.2">
      <c r="A39" s="187">
        <v>40603</v>
      </c>
      <c r="B39" s="180">
        <v>79.61</v>
      </c>
    </row>
    <row r="40" spans="1:2" x14ac:dyDescent="0.2">
      <c r="A40" s="187">
        <v>40634</v>
      </c>
      <c r="B40" s="180">
        <v>78.62</v>
      </c>
    </row>
    <row r="41" spans="1:2" x14ac:dyDescent="0.2">
      <c r="A41" s="187">
        <v>40664</v>
      </c>
      <c r="B41" s="180">
        <v>77.66</v>
      </c>
    </row>
    <row r="42" spans="1:2" x14ac:dyDescent="0.2">
      <c r="A42" s="187">
        <v>40695</v>
      </c>
      <c r="B42" s="180">
        <v>76.69</v>
      </c>
    </row>
    <row r="43" spans="1:2" x14ac:dyDescent="0.2">
      <c r="A43" s="187">
        <v>40725</v>
      </c>
      <c r="B43" s="180">
        <v>75.62</v>
      </c>
    </row>
    <row r="44" spans="1:2" x14ac:dyDescent="0.2">
      <c r="A44" s="187">
        <v>40756</v>
      </c>
      <c r="B44" s="180">
        <v>74.680000000000007</v>
      </c>
    </row>
    <row r="45" spans="1:2" x14ac:dyDescent="0.2">
      <c r="A45" s="187">
        <v>40787</v>
      </c>
      <c r="B45" s="180">
        <v>73.8</v>
      </c>
    </row>
    <row r="46" spans="1:2" x14ac:dyDescent="0.2">
      <c r="A46" s="187">
        <v>40817</v>
      </c>
      <c r="B46" s="180">
        <v>72.94</v>
      </c>
    </row>
    <row r="47" spans="1:2" x14ac:dyDescent="0.2">
      <c r="A47" s="187">
        <v>40848</v>
      </c>
      <c r="B47" s="180">
        <v>72.03</v>
      </c>
    </row>
    <row r="48" spans="1:2" x14ac:dyDescent="0.2">
      <c r="A48" s="187">
        <v>40878</v>
      </c>
      <c r="B48" s="180">
        <v>71.14</v>
      </c>
    </row>
    <row r="49" spans="1:2" x14ac:dyDescent="0.2">
      <c r="A49" s="187">
        <v>40909</v>
      </c>
      <c r="B49" s="180">
        <v>70.39</v>
      </c>
    </row>
    <row r="50" spans="1:2" x14ac:dyDescent="0.2">
      <c r="A50" s="187">
        <v>40940</v>
      </c>
      <c r="B50" s="180">
        <v>69.569999999999993</v>
      </c>
    </row>
    <row r="51" spans="1:2" x14ac:dyDescent="0.2">
      <c r="A51" s="187">
        <v>40969</v>
      </c>
      <c r="B51" s="180">
        <v>68.86</v>
      </c>
    </row>
    <row r="52" spans="1:2" x14ac:dyDescent="0.2">
      <c r="A52" s="187">
        <v>41000</v>
      </c>
      <c r="B52" s="180">
        <v>68.12</v>
      </c>
    </row>
    <row r="53" spans="1:2" x14ac:dyDescent="0.2">
      <c r="A53" s="187">
        <v>41030</v>
      </c>
      <c r="B53" s="180">
        <v>67.48</v>
      </c>
    </row>
    <row r="54" spans="1:2" x14ac:dyDescent="0.2">
      <c r="A54" s="187">
        <v>41061</v>
      </c>
      <c r="B54" s="180">
        <v>66.8</v>
      </c>
    </row>
    <row r="55" spans="1:2" x14ac:dyDescent="0.2">
      <c r="A55" s="187">
        <v>41091</v>
      </c>
      <c r="B55" s="180">
        <v>66.11</v>
      </c>
    </row>
    <row r="56" spans="1:2" x14ac:dyDescent="0.2">
      <c r="A56" s="187">
        <v>41122</v>
      </c>
      <c r="B56" s="180">
        <v>65.569999999999993</v>
      </c>
    </row>
    <row r="57" spans="1:2" x14ac:dyDescent="0.2">
      <c r="A57" s="187">
        <v>41153</v>
      </c>
      <c r="B57" s="180">
        <v>64.959999999999994</v>
      </c>
    </row>
    <row r="58" spans="1:2" x14ac:dyDescent="0.2">
      <c r="A58" s="187">
        <v>41183</v>
      </c>
      <c r="B58" s="180">
        <v>64.41</v>
      </c>
    </row>
    <row r="59" spans="1:2" x14ac:dyDescent="0.2">
      <c r="A59" s="187">
        <v>41214</v>
      </c>
      <c r="B59" s="180">
        <v>63.86</v>
      </c>
    </row>
    <row r="60" spans="1:2" x14ac:dyDescent="0.2">
      <c r="A60" s="187">
        <v>41244</v>
      </c>
      <c r="B60" s="180">
        <v>63.26</v>
      </c>
    </row>
    <row r="61" spans="1:2" x14ac:dyDescent="0.2">
      <c r="A61" s="187">
        <v>41275</v>
      </c>
      <c r="B61" s="180">
        <v>62.77</v>
      </c>
    </row>
    <row r="62" spans="1:2" x14ac:dyDescent="0.2">
      <c r="A62" s="187">
        <v>41306</v>
      </c>
      <c r="B62" s="180">
        <v>62.22</v>
      </c>
    </row>
    <row r="63" spans="1:2" x14ac:dyDescent="0.2">
      <c r="A63" s="187">
        <v>41334</v>
      </c>
      <c r="B63" s="180">
        <v>61.61</v>
      </c>
    </row>
    <row r="64" spans="1:2" x14ac:dyDescent="0.2">
      <c r="A64" s="187">
        <v>41365</v>
      </c>
      <c r="B64" s="180">
        <v>61.01</v>
      </c>
    </row>
    <row r="65" spans="1:2" x14ac:dyDescent="0.2">
      <c r="A65" s="187">
        <v>41395</v>
      </c>
      <c r="B65" s="180">
        <v>60.4</v>
      </c>
    </row>
    <row r="66" spans="1:2" x14ac:dyDescent="0.2">
      <c r="A66" s="187">
        <v>41426</v>
      </c>
      <c r="B66" s="180">
        <v>59.68</v>
      </c>
    </row>
    <row r="67" spans="1:2" x14ac:dyDescent="0.2">
      <c r="A67" s="187">
        <v>41456</v>
      </c>
      <c r="B67" s="180">
        <v>58.97</v>
      </c>
    </row>
    <row r="68" spans="1:2" x14ac:dyDescent="0.2">
      <c r="A68" s="187">
        <v>41487</v>
      </c>
      <c r="B68" s="180">
        <v>58.26</v>
      </c>
    </row>
    <row r="69" spans="1:2" x14ac:dyDescent="0.2">
      <c r="A69" s="187">
        <v>41518</v>
      </c>
      <c r="B69" s="180">
        <v>57.45</v>
      </c>
    </row>
    <row r="70" spans="1:2" x14ac:dyDescent="0.2">
      <c r="A70" s="187">
        <v>41548</v>
      </c>
      <c r="B70" s="180">
        <v>56.73</v>
      </c>
    </row>
    <row r="71" spans="1:2" x14ac:dyDescent="0.2">
      <c r="A71" s="187">
        <v>41579</v>
      </c>
      <c r="B71" s="180">
        <v>55.94</v>
      </c>
    </row>
    <row r="72" spans="1:2" x14ac:dyDescent="0.2">
      <c r="A72" s="187">
        <v>41609</v>
      </c>
      <c r="B72" s="180">
        <v>55.09</v>
      </c>
    </row>
    <row r="73" spans="1:2" x14ac:dyDescent="0.2">
      <c r="A73" s="187">
        <v>41640</v>
      </c>
      <c r="B73" s="180">
        <v>54.3</v>
      </c>
    </row>
    <row r="74" spans="1:2" x14ac:dyDescent="0.2">
      <c r="A74" s="187">
        <v>41671</v>
      </c>
      <c r="B74" s="180">
        <v>53.53</v>
      </c>
    </row>
    <row r="75" spans="1:2" x14ac:dyDescent="0.2">
      <c r="A75" s="187">
        <v>41699</v>
      </c>
      <c r="B75" s="180">
        <v>52.71</v>
      </c>
    </row>
    <row r="76" spans="1:2" x14ac:dyDescent="0.2">
      <c r="A76" s="187">
        <v>41730</v>
      </c>
      <c r="B76" s="180">
        <v>51.84</v>
      </c>
    </row>
    <row r="77" spans="1:2" x14ac:dyDescent="0.2">
      <c r="A77" s="187">
        <v>41760</v>
      </c>
      <c r="B77" s="180">
        <v>51.02</v>
      </c>
    </row>
    <row r="78" spans="1:2" x14ac:dyDescent="0.2">
      <c r="A78" s="187">
        <v>41791</v>
      </c>
      <c r="B78" s="180">
        <v>50.07</v>
      </c>
    </row>
    <row r="79" spans="1:2" x14ac:dyDescent="0.2">
      <c r="A79" s="187">
        <v>41821</v>
      </c>
      <c r="B79" s="180">
        <v>49.2</v>
      </c>
    </row>
    <row r="80" spans="1:2" x14ac:dyDescent="0.2">
      <c r="A80" s="187">
        <v>41852</v>
      </c>
      <c r="B80" s="180">
        <v>48.26</v>
      </c>
    </row>
    <row r="81" spans="1:2" x14ac:dyDescent="0.2">
      <c r="A81" s="187">
        <v>41883</v>
      </c>
      <c r="B81" s="180">
        <v>47.34</v>
      </c>
    </row>
    <row r="82" spans="1:2" x14ac:dyDescent="0.2">
      <c r="A82" s="187">
        <v>41913</v>
      </c>
      <c r="B82" s="180">
        <v>46.5</v>
      </c>
    </row>
    <row r="83" spans="1:2" x14ac:dyDescent="0.2">
      <c r="A83" s="187">
        <v>41944</v>
      </c>
      <c r="B83" s="180">
        <v>45.54</v>
      </c>
    </row>
    <row r="84" spans="1:2" x14ac:dyDescent="0.2">
      <c r="A84" s="187">
        <v>41974</v>
      </c>
      <c r="B84" s="180">
        <v>44.6</v>
      </c>
    </row>
    <row r="85" spans="1:2" x14ac:dyDescent="0.2">
      <c r="A85" s="187">
        <v>42005</v>
      </c>
      <c r="B85" s="180">
        <v>43.78</v>
      </c>
    </row>
    <row r="86" spans="1:2" x14ac:dyDescent="0.2">
      <c r="A86" s="187">
        <v>42036</v>
      </c>
      <c r="B86" s="180">
        <v>42.74</v>
      </c>
    </row>
    <row r="87" spans="1:2" x14ac:dyDescent="0.2">
      <c r="A87" s="187">
        <v>42064</v>
      </c>
      <c r="B87" s="180">
        <v>41.79</v>
      </c>
    </row>
    <row r="88" spans="1:2" x14ac:dyDescent="0.2">
      <c r="A88" s="187">
        <v>42095</v>
      </c>
      <c r="B88" s="180">
        <v>40.799999999999997</v>
      </c>
    </row>
    <row r="89" spans="1:2" x14ac:dyDescent="0.2">
      <c r="A89" s="187">
        <v>42125</v>
      </c>
      <c r="B89" s="180">
        <v>39.729999999999997</v>
      </c>
    </row>
    <row r="90" spans="1:2" x14ac:dyDescent="0.2">
      <c r="A90" s="187">
        <v>42156</v>
      </c>
      <c r="B90" s="180">
        <v>38.549999999999997</v>
      </c>
    </row>
    <row r="91" spans="1:2" x14ac:dyDescent="0.2">
      <c r="A91" s="187">
        <v>42186</v>
      </c>
      <c r="B91" s="180">
        <v>37.44</v>
      </c>
    </row>
    <row r="92" spans="1:2" x14ac:dyDescent="0.2">
      <c r="A92" s="187">
        <v>42217</v>
      </c>
      <c r="B92" s="180">
        <v>36.33</v>
      </c>
    </row>
    <row r="93" spans="1:2" x14ac:dyDescent="0.2">
      <c r="A93" s="187">
        <v>42248</v>
      </c>
      <c r="B93" s="180">
        <v>35.22</v>
      </c>
    </row>
    <row r="94" spans="1:2" x14ac:dyDescent="0.2">
      <c r="A94" s="187">
        <v>42278</v>
      </c>
      <c r="B94" s="180">
        <v>34.159999999999997</v>
      </c>
    </row>
    <row r="95" spans="1:2" x14ac:dyDescent="0.2">
      <c r="A95" s="187">
        <v>42309</v>
      </c>
      <c r="B95" s="180">
        <v>33</v>
      </c>
    </row>
    <row r="96" spans="1:2" x14ac:dyDescent="0.2">
      <c r="A96" s="187">
        <v>42339</v>
      </c>
      <c r="B96" s="180">
        <v>31.94</v>
      </c>
    </row>
    <row r="97" spans="1:2" x14ac:dyDescent="0.2">
      <c r="A97" s="187">
        <v>42370</v>
      </c>
      <c r="B97" s="180">
        <v>30.94</v>
      </c>
    </row>
    <row r="98" spans="1:2" x14ac:dyDescent="0.2">
      <c r="A98" s="187">
        <v>42401</v>
      </c>
      <c r="B98" s="180">
        <v>29.78</v>
      </c>
    </row>
    <row r="99" spans="1:2" x14ac:dyDescent="0.2">
      <c r="A99" s="187">
        <v>42430</v>
      </c>
      <c r="B99" s="180">
        <v>28.72</v>
      </c>
    </row>
    <row r="100" spans="1:2" x14ac:dyDescent="0.2">
      <c r="A100" s="187">
        <v>42461</v>
      </c>
      <c r="B100" s="180">
        <v>27.61</v>
      </c>
    </row>
    <row r="101" spans="1:2" x14ac:dyDescent="0.2">
      <c r="A101" s="187">
        <v>42491</v>
      </c>
      <c r="B101" s="180">
        <v>26.45</v>
      </c>
    </row>
    <row r="102" spans="1:2" x14ac:dyDescent="0.2">
      <c r="A102" s="187">
        <v>42522</v>
      </c>
      <c r="B102" s="180">
        <v>25.34</v>
      </c>
    </row>
    <row r="103" spans="1:2" x14ac:dyDescent="0.2">
      <c r="A103" s="187">
        <v>42552</v>
      </c>
      <c r="B103" s="180">
        <v>24.12</v>
      </c>
    </row>
    <row r="104" spans="1:2" x14ac:dyDescent="0.2">
      <c r="A104" s="187">
        <v>42583</v>
      </c>
      <c r="B104" s="180">
        <v>23.01</v>
      </c>
    </row>
    <row r="105" spans="1:2" x14ac:dyDescent="0.2">
      <c r="A105" s="187">
        <v>42614</v>
      </c>
      <c r="B105" s="180">
        <v>21.96</v>
      </c>
    </row>
    <row r="106" spans="1:2" x14ac:dyDescent="0.2">
      <c r="A106" s="187">
        <v>42644</v>
      </c>
      <c r="B106" s="180">
        <v>20.92</v>
      </c>
    </row>
    <row r="107" spans="1:2" x14ac:dyDescent="0.2">
      <c r="A107" s="187">
        <v>42675</v>
      </c>
      <c r="B107" s="180">
        <v>19.8</v>
      </c>
    </row>
    <row r="108" spans="1:2" x14ac:dyDescent="0.2">
      <c r="A108" s="187">
        <v>42705</v>
      </c>
      <c r="B108" s="180">
        <v>18.71</v>
      </c>
    </row>
    <row r="109" spans="1:2" x14ac:dyDescent="0.2">
      <c r="A109" s="187">
        <v>42736</v>
      </c>
      <c r="B109" s="180">
        <v>17.84</v>
      </c>
    </row>
    <row r="110" spans="1:2" x14ac:dyDescent="0.2">
      <c r="A110" s="187">
        <v>42767</v>
      </c>
      <c r="B110" s="180">
        <v>16.79</v>
      </c>
    </row>
    <row r="111" spans="1:2" x14ac:dyDescent="0.2">
      <c r="A111" s="187">
        <v>42795</v>
      </c>
      <c r="B111" s="180">
        <v>16</v>
      </c>
    </row>
    <row r="112" spans="1:2" x14ac:dyDescent="0.2">
      <c r="A112" s="187">
        <v>42826</v>
      </c>
      <c r="B112" s="180">
        <v>15.07</v>
      </c>
    </row>
    <row r="113" spans="1:2" x14ac:dyDescent="0.2">
      <c r="A113" s="187">
        <v>42856</v>
      </c>
      <c r="B113" s="180">
        <v>14.26</v>
      </c>
    </row>
    <row r="114" spans="1:2" x14ac:dyDescent="0.2">
      <c r="A114" s="187">
        <v>42887</v>
      </c>
      <c r="B114" s="180">
        <v>13.46</v>
      </c>
    </row>
    <row r="115" spans="1:2" x14ac:dyDescent="0.2">
      <c r="A115" s="187">
        <v>42917</v>
      </c>
      <c r="B115" s="180">
        <v>12.66</v>
      </c>
    </row>
    <row r="116" spans="1:2" x14ac:dyDescent="0.2">
      <c r="A116" s="187">
        <v>42948</v>
      </c>
      <c r="B116" s="180">
        <v>12.02</v>
      </c>
    </row>
    <row r="117" spans="1:2" x14ac:dyDescent="0.2">
      <c r="A117" s="187">
        <v>42979</v>
      </c>
      <c r="B117" s="180">
        <v>11.38</v>
      </c>
    </row>
    <row r="118" spans="1:2" x14ac:dyDescent="0.2">
      <c r="A118" s="187">
        <v>43009</v>
      </c>
      <c r="B118" s="180">
        <v>10.81</v>
      </c>
    </row>
    <row r="119" spans="1:2" x14ac:dyDescent="0.2">
      <c r="A119" s="187">
        <v>43040</v>
      </c>
      <c r="B119" s="180">
        <v>10.27</v>
      </c>
    </row>
    <row r="120" spans="1:2" x14ac:dyDescent="0.2">
      <c r="A120" s="187">
        <v>43070</v>
      </c>
      <c r="B120" s="180">
        <v>9.69</v>
      </c>
    </row>
    <row r="121" spans="1:2" x14ac:dyDescent="0.2">
      <c r="A121" s="187">
        <v>43101</v>
      </c>
      <c r="B121" s="180">
        <v>9.2200000000000006</v>
      </c>
    </row>
    <row r="122" spans="1:2" x14ac:dyDescent="0.2">
      <c r="A122" s="187">
        <v>43132</v>
      </c>
      <c r="B122" s="180">
        <v>8.69</v>
      </c>
    </row>
    <row r="123" spans="1:2" x14ac:dyDescent="0.2">
      <c r="A123" s="187">
        <v>43160</v>
      </c>
      <c r="B123" s="180">
        <v>8.17</v>
      </c>
    </row>
    <row r="124" spans="1:2" x14ac:dyDescent="0.2">
      <c r="A124" s="187">
        <v>43191</v>
      </c>
      <c r="B124" s="180">
        <v>7.65</v>
      </c>
    </row>
    <row r="125" spans="1:2" x14ac:dyDescent="0.2">
      <c r="A125" s="187">
        <v>43221</v>
      </c>
      <c r="B125" s="180">
        <v>7.13</v>
      </c>
    </row>
    <row r="126" spans="1:2" x14ac:dyDescent="0.2">
      <c r="A126" s="187">
        <v>43252</v>
      </c>
      <c r="B126" s="180">
        <v>6.59</v>
      </c>
    </row>
    <row r="127" spans="1:2" x14ac:dyDescent="0.2">
      <c r="A127" s="187">
        <v>43282</v>
      </c>
      <c r="B127" s="180">
        <v>6.02</v>
      </c>
    </row>
    <row r="128" spans="1:2" x14ac:dyDescent="0.2">
      <c r="A128" s="187">
        <v>43313</v>
      </c>
      <c r="B128" s="180">
        <v>5.55</v>
      </c>
    </row>
    <row r="129" spans="1:2" x14ac:dyDescent="0.2">
      <c r="A129" s="187">
        <v>43344</v>
      </c>
      <c r="B129" s="180">
        <v>5.01</v>
      </c>
    </row>
    <row r="130" spans="1:2" x14ac:dyDescent="0.2">
      <c r="A130" s="187">
        <v>43374</v>
      </c>
      <c r="B130" s="180">
        <v>4.5199999999999996</v>
      </c>
    </row>
    <row r="131" spans="1:2" x14ac:dyDescent="0.2">
      <c r="A131" s="187">
        <v>43405</v>
      </c>
      <c r="B131" s="180">
        <v>4.03</v>
      </c>
    </row>
    <row r="132" spans="1:2" x14ac:dyDescent="0.2">
      <c r="A132" s="187">
        <v>43435</v>
      </c>
      <c r="B132" s="180">
        <v>3.49</v>
      </c>
    </row>
    <row r="133" spans="1:2" x14ac:dyDescent="0.2">
      <c r="A133" s="187">
        <v>43466</v>
      </c>
      <c r="B133" s="180">
        <v>3</v>
      </c>
    </row>
    <row r="134" spans="1:2" x14ac:dyDescent="0.2">
      <c r="A134" s="187">
        <v>43497</v>
      </c>
      <c r="B134" s="180">
        <v>2.5299999999999998</v>
      </c>
    </row>
    <row r="135" spans="1:2" x14ac:dyDescent="0.2">
      <c r="A135" s="187">
        <v>43525</v>
      </c>
      <c r="B135" s="180">
        <v>2.0099999999999998</v>
      </c>
    </row>
    <row r="136" spans="1:2" x14ac:dyDescent="0.2">
      <c r="A136" s="187">
        <v>43556</v>
      </c>
      <c r="B136" s="180">
        <v>1.47</v>
      </c>
    </row>
    <row r="137" spans="1:2" x14ac:dyDescent="0.2">
      <c r="A137" s="187">
        <v>43586</v>
      </c>
      <c r="B137" s="180">
        <v>1</v>
      </c>
    </row>
    <row r="138" spans="1:2" x14ac:dyDescent="0.2">
      <c r="A138" s="187">
        <v>43617</v>
      </c>
      <c r="B138" s="180">
        <v>0</v>
      </c>
    </row>
    <row r="139" spans="1:2" x14ac:dyDescent="0.2">
      <c r="A139" s="187">
        <v>43647</v>
      </c>
      <c r="B139" s="180">
        <v>0</v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1">
    <pageSetUpPr fitToPage="1"/>
  </sheetPr>
  <dimension ref="A1:X1268"/>
  <sheetViews>
    <sheetView showGridLines="0" workbookViewId="0">
      <pane xSplit="1" ySplit="7" topLeftCell="B8" activePane="bottomRight" state="frozen"/>
      <selection sqref="A1:G1"/>
      <selection pane="topRight" sqref="A1:G1"/>
      <selection pane="bottomLeft" sqref="A1:G1"/>
      <selection pane="bottomRight" sqref="A1:G1"/>
    </sheetView>
  </sheetViews>
  <sheetFormatPr defaultColWidth="9.109375" defaultRowHeight="11.4" x14ac:dyDescent="0.2"/>
  <cols>
    <col min="1" max="1" width="13.44140625" style="54" customWidth="1"/>
    <col min="2" max="3" width="11.33203125" style="54" customWidth="1"/>
    <col min="4" max="4" width="9.88671875" style="54" customWidth="1"/>
    <col min="5" max="5" width="10.44140625" style="54" customWidth="1"/>
    <col min="6" max="12" width="10.88671875" style="54" customWidth="1"/>
    <col min="13" max="13" width="14.109375" style="54" customWidth="1"/>
    <col min="14" max="15" width="13" style="54" customWidth="1"/>
    <col min="16" max="16" width="11.88671875" style="54" customWidth="1"/>
    <col min="17" max="17" width="12" style="54" bestFit="1" customWidth="1"/>
    <col min="18" max="20" width="12" style="54" customWidth="1"/>
    <col min="21" max="21" width="14" style="54" customWidth="1"/>
    <col min="22" max="22" width="11" style="54" bestFit="1" customWidth="1"/>
    <col min="23" max="23" width="14.33203125" style="54" customWidth="1"/>
    <col min="24" max="24" width="9.109375" style="54"/>
    <col min="25" max="25" width="13" style="54" customWidth="1"/>
    <col min="26" max="26" width="13.6640625" style="54" customWidth="1"/>
    <col min="27" max="32" width="9.109375" style="54"/>
    <col min="33" max="33" width="10.6640625" style="54" customWidth="1"/>
    <col min="34" max="35" width="9.109375" style="54"/>
    <col min="36" max="36" width="12.44140625" style="54" customWidth="1"/>
    <col min="37" max="38" width="9.109375" style="54"/>
    <col min="39" max="39" width="11.33203125" style="54" customWidth="1"/>
    <col min="40" max="16384" width="9.109375" style="54"/>
  </cols>
  <sheetData>
    <row r="1" spans="1:23" x14ac:dyDescent="0.2">
      <c r="A1" s="367" t="s">
        <v>147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  <c r="S1" s="368"/>
      <c r="T1" s="368"/>
      <c r="U1" s="368"/>
      <c r="V1" s="368"/>
      <c r="W1" s="369"/>
    </row>
    <row r="2" spans="1:23" ht="20.25" customHeight="1" x14ac:dyDescent="0.2">
      <c r="A2" s="370"/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2"/>
    </row>
    <row r="3" spans="1:23" x14ac:dyDescent="0.2">
      <c r="A3" s="275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7"/>
      <c r="O3" s="57"/>
      <c r="P3" s="58"/>
      <c r="Q3" s="58"/>
      <c r="R3" s="58"/>
      <c r="S3" s="58"/>
      <c r="T3" s="58"/>
      <c r="U3" s="58"/>
      <c r="V3" s="58"/>
      <c r="W3" s="276"/>
    </row>
    <row r="4" spans="1:23" ht="12.6" x14ac:dyDescent="0.2">
      <c r="A4" s="277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7"/>
      <c r="O4" s="57"/>
      <c r="P4" s="58"/>
      <c r="Q4" s="58"/>
      <c r="R4" s="58"/>
      <c r="S4" s="58"/>
      <c r="T4" s="58"/>
      <c r="U4" s="58"/>
      <c r="V4" s="58"/>
      <c r="W4" s="276"/>
    </row>
    <row r="5" spans="1:23" x14ac:dyDescent="0.2">
      <c r="A5" s="278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7"/>
      <c r="O5" s="57"/>
      <c r="P5" s="58"/>
      <c r="Q5" s="58"/>
      <c r="R5" s="58"/>
      <c r="S5" s="58"/>
      <c r="T5" s="58"/>
      <c r="U5" s="58"/>
      <c r="V5" s="58"/>
      <c r="W5" s="276"/>
    </row>
    <row r="6" spans="1:23" x14ac:dyDescent="0.2">
      <c r="A6" s="279"/>
      <c r="B6" s="280"/>
      <c r="C6" s="280"/>
      <c r="D6" s="280"/>
      <c r="E6" s="280"/>
      <c r="F6" s="280"/>
      <c r="G6" s="280"/>
      <c r="H6" s="280"/>
      <c r="I6" s="280"/>
      <c r="J6" s="280"/>
      <c r="K6" s="280"/>
      <c r="L6" s="280"/>
      <c r="M6" s="280"/>
      <c r="N6" s="281"/>
      <c r="O6" s="281"/>
      <c r="P6" s="282"/>
      <c r="Q6" s="282"/>
      <c r="R6" s="282"/>
      <c r="S6" s="282"/>
      <c r="T6" s="282"/>
      <c r="U6" s="282"/>
      <c r="V6" s="282"/>
      <c r="W6" s="283"/>
    </row>
    <row r="7" spans="1:23" ht="58.5" customHeight="1" x14ac:dyDescent="0.2">
      <c r="A7" s="59" t="s">
        <v>17</v>
      </c>
      <c r="B7" s="59" t="s">
        <v>123</v>
      </c>
      <c r="C7" s="59" t="s">
        <v>152</v>
      </c>
      <c r="D7" s="59" t="s">
        <v>124</v>
      </c>
      <c r="E7" s="59" t="s">
        <v>125</v>
      </c>
      <c r="F7" s="59" t="s">
        <v>126</v>
      </c>
      <c r="G7" s="59" t="s">
        <v>121</v>
      </c>
      <c r="H7" s="59" t="s">
        <v>151</v>
      </c>
      <c r="I7" s="59" t="s">
        <v>120</v>
      </c>
      <c r="J7" s="59" t="s">
        <v>153</v>
      </c>
      <c r="K7" s="59" t="s">
        <v>122</v>
      </c>
      <c r="L7" s="59" t="s">
        <v>154</v>
      </c>
      <c r="M7" s="59" t="s">
        <v>118</v>
      </c>
      <c r="N7" s="59" t="s">
        <v>130</v>
      </c>
      <c r="O7" s="59" t="s">
        <v>131</v>
      </c>
      <c r="P7" s="59" t="s">
        <v>132</v>
      </c>
      <c r="Q7" s="59" t="s">
        <v>76</v>
      </c>
      <c r="R7" s="59" t="s">
        <v>127</v>
      </c>
      <c r="S7" s="59" t="s">
        <v>128</v>
      </c>
      <c r="T7" s="59" t="s">
        <v>129</v>
      </c>
      <c r="U7" s="59" t="s">
        <v>133</v>
      </c>
      <c r="V7" s="59" t="s">
        <v>55</v>
      </c>
      <c r="W7" s="59" t="s">
        <v>107</v>
      </c>
    </row>
    <row r="8" spans="1:23" ht="12.6" x14ac:dyDescent="0.2">
      <c r="A8" s="39" t="e">
        <f>IF(#REF!&gt;0,#REF!,DT_INICIAL)</f>
        <v>#REF!</v>
      </c>
      <c r="B8" s="60" t="e">
        <f>IF(#REF!&gt;0,#REF!,0)</f>
        <v>#REF!</v>
      </c>
      <c r="C8" s="60"/>
      <c r="D8" s="60" t="e">
        <f>IF(#REF!&gt;0,#REF!,0)</f>
        <v>#REF!</v>
      </c>
      <c r="E8" s="60" t="e">
        <f>IF(#REF!&gt;0,#REF!,0)</f>
        <v>#REF!</v>
      </c>
      <c r="F8" s="60" t="e">
        <f>IF(#REF!&gt;0,#REF!,0)</f>
        <v>#REF!</v>
      </c>
      <c r="G8" s="60" t="e">
        <f>IF(#REF!&gt;0,#REF!,0)</f>
        <v>#REF!</v>
      </c>
      <c r="H8" s="60"/>
      <c r="I8" s="60" t="e">
        <f>IF(#REF!&gt;0,#REF!,0)</f>
        <v>#REF!</v>
      </c>
      <c r="J8" s="60"/>
      <c r="K8" s="60" t="e">
        <f>IF(#REF!&gt;0,#REF!,0)</f>
        <v>#REF!</v>
      </c>
      <c r="L8" s="60"/>
      <c r="M8" s="60" t="e">
        <f>IF(#REF!&gt;0,#REF!,0)</f>
        <v>#REF!</v>
      </c>
      <c r="N8" s="60">
        <v>0</v>
      </c>
      <c r="O8" s="60">
        <v>0</v>
      </c>
      <c r="P8" s="60">
        <v>0</v>
      </c>
      <c r="Q8" s="60">
        <v>0</v>
      </c>
      <c r="R8" s="61">
        <v>0</v>
      </c>
      <c r="S8" s="61">
        <v>0</v>
      </c>
      <c r="T8" s="61">
        <v>0</v>
      </c>
      <c r="U8" s="60">
        <v>0</v>
      </c>
      <c r="V8" s="62">
        <v>0</v>
      </c>
      <c r="W8" s="163" t="e">
        <f t="shared" ref="W8:W39" si="0">SUM(B8:V8)</f>
        <v>#REF!</v>
      </c>
    </row>
    <row r="9" spans="1:23" ht="12.6" x14ac:dyDescent="0.2">
      <c r="A9" s="50" t="e">
        <f t="shared" ref="A9:A40" si="1">IF(A8&lt;&gt;"",IF(A8+31&lt;fim,IF(A8&lt;fim,EOMONTH(A8,0)+1,fim),""),"")</f>
        <v>#REF!</v>
      </c>
      <c r="B9" s="60" t="e">
        <f>IF(#REF!&gt;0,#REF!,0)</f>
        <v>#REF!</v>
      </c>
      <c r="C9" s="60"/>
      <c r="D9" s="60" t="e">
        <f>IF(#REF!&gt;0,#REF!,0)</f>
        <v>#REF!</v>
      </c>
      <c r="E9" s="60" t="e">
        <f>IF(#REF!&gt;0,#REF!,0)</f>
        <v>#REF!</v>
      </c>
      <c r="F9" s="60" t="e">
        <f>IF(#REF!&gt;0,#REF!,0)</f>
        <v>#REF!</v>
      </c>
      <c r="G9" s="60" t="e">
        <f>IF(#REF!&gt;0,#REF!,0)</f>
        <v>#REF!</v>
      </c>
      <c r="H9" s="60"/>
      <c r="I9" s="60" t="e">
        <f>IF(#REF!&gt;0,#REF!,0)</f>
        <v>#REF!</v>
      </c>
      <c r="J9" s="60"/>
      <c r="K9" s="60" t="e">
        <f>IF(#REF!&gt;0,#REF!,0)</f>
        <v>#REF!</v>
      </c>
      <c r="L9" s="60"/>
      <c r="M9" s="60" t="e">
        <f>IF(#REF!&gt;0,#REF!,0)</f>
        <v>#REF!</v>
      </c>
      <c r="N9" s="60">
        <v>0</v>
      </c>
      <c r="O9" s="60">
        <v>0</v>
      </c>
      <c r="P9" s="60">
        <v>0</v>
      </c>
      <c r="Q9" s="60">
        <v>0</v>
      </c>
      <c r="R9" s="61">
        <v>0</v>
      </c>
      <c r="S9" s="61">
        <v>0</v>
      </c>
      <c r="T9" s="61">
        <v>0</v>
      </c>
      <c r="U9" s="60">
        <v>0</v>
      </c>
      <c r="V9" s="62">
        <v>0</v>
      </c>
      <c r="W9" s="163" t="e">
        <f t="shared" si="0"/>
        <v>#REF!</v>
      </c>
    </row>
    <row r="10" spans="1:23" ht="12.6" x14ac:dyDescent="0.2">
      <c r="A10" s="50" t="e">
        <f t="shared" si="1"/>
        <v>#REF!</v>
      </c>
      <c r="B10" s="60" t="e">
        <f>IF(#REF!&gt;0,#REF!,0)</f>
        <v>#REF!</v>
      </c>
      <c r="C10" s="60"/>
      <c r="D10" s="60" t="e">
        <f>IF(#REF!&gt;0,#REF!,0)</f>
        <v>#REF!</v>
      </c>
      <c r="E10" s="60" t="e">
        <f>IF(#REF!&gt;0,#REF!,0)</f>
        <v>#REF!</v>
      </c>
      <c r="F10" s="60" t="e">
        <f>IF(#REF!&gt;0,#REF!,0)</f>
        <v>#REF!</v>
      </c>
      <c r="G10" s="60" t="e">
        <f>IF(#REF!&gt;0,#REF!,0)</f>
        <v>#REF!</v>
      </c>
      <c r="H10" s="60"/>
      <c r="I10" s="60" t="e">
        <f>IF(#REF!&gt;0,#REF!,0)</f>
        <v>#REF!</v>
      </c>
      <c r="J10" s="60"/>
      <c r="K10" s="60" t="e">
        <f>IF(#REF!&gt;0,#REF!,0)</f>
        <v>#REF!</v>
      </c>
      <c r="L10" s="60"/>
      <c r="M10" s="60" t="e">
        <f>IF(#REF!&gt;0,#REF!,0)</f>
        <v>#REF!</v>
      </c>
      <c r="N10" s="60">
        <v>0</v>
      </c>
      <c r="O10" s="60">
        <v>0</v>
      </c>
      <c r="P10" s="60">
        <v>0</v>
      </c>
      <c r="Q10" s="60">
        <v>0</v>
      </c>
      <c r="R10" s="61">
        <v>0</v>
      </c>
      <c r="S10" s="61">
        <v>0</v>
      </c>
      <c r="T10" s="61">
        <v>0</v>
      </c>
      <c r="U10" s="60">
        <v>0</v>
      </c>
      <c r="V10" s="62">
        <v>0</v>
      </c>
      <c r="W10" s="163" t="e">
        <f t="shared" si="0"/>
        <v>#REF!</v>
      </c>
    </row>
    <row r="11" spans="1:23" ht="12.6" x14ac:dyDescent="0.2">
      <c r="A11" s="50" t="e">
        <f t="shared" si="1"/>
        <v>#REF!</v>
      </c>
      <c r="B11" s="60" t="e">
        <f>IF(#REF!&gt;0,#REF!,0)</f>
        <v>#REF!</v>
      </c>
      <c r="C11" s="60"/>
      <c r="D11" s="60" t="e">
        <f>IF(#REF!&gt;0,#REF!,0)</f>
        <v>#REF!</v>
      </c>
      <c r="E11" s="60" t="e">
        <f>IF(#REF!&gt;0,#REF!,0)</f>
        <v>#REF!</v>
      </c>
      <c r="F11" s="60" t="e">
        <f>IF(#REF!&gt;0,#REF!,0)</f>
        <v>#REF!</v>
      </c>
      <c r="G11" s="60" t="e">
        <f>IF(#REF!&gt;0,#REF!,0)</f>
        <v>#REF!</v>
      </c>
      <c r="H11" s="60"/>
      <c r="I11" s="60" t="e">
        <f>IF(#REF!&gt;0,#REF!,0)</f>
        <v>#REF!</v>
      </c>
      <c r="J11" s="60"/>
      <c r="K11" s="60" t="e">
        <f>IF(#REF!&gt;0,#REF!,0)</f>
        <v>#REF!</v>
      </c>
      <c r="L11" s="60"/>
      <c r="M11" s="60" t="e">
        <f>IF(#REF!&gt;0,#REF!,0)</f>
        <v>#REF!</v>
      </c>
      <c r="N11" s="60">
        <v>0</v>
      </c>
      <c r="O11" s="60">
        <v>0</v>
      </c>
      <c r="P11" s="60">
        <v>0</v>
      </c>
      <c r="Q11" s="60">
        <v>0</v>
      </c>
      <c r="R11" s="61">
        <v>0</v>
      </c>
      <c r="S11" s="61">
        <v>0</v>
      </c>
      <c r="T11" s="61">
        <v>0</v>
      </c>
      <c r="U11" s="60">
        <v>0</v>
      </c>
      <c r="V11" s="62">
        <v>0</v>
      </c>
      <c r="W11" s="163" t="e">
        <f t="shared" si="0"/>
        <v>#REF!</v>
      </c>
    </row>
    <row r="12" spans="1:23" ht="12.6" x14ac:dyDescent="0.2">
      <c r="A12" s="50" t="e">
        <f t="shared" si="1"/>
        <v>#REF!</v>
      </c>
      <c r="B12" s="60" t="e">
        <f>IF(#REF!&gt;0,#REF!,0)</f>
        <v>#REF!</v>
      </c>
      <c r="C12" s="60"/>
      <c r="D12" s="60" t="e">
        <f>IF(#REF!&gt;0,#REF!,0)</f>
        <v>#REF!</v>
      </c>
      <c r="E12" s="60" t="e">
        <f>IF(#REF!&gt;0,#REF!,0)</f>
        <v>#REF!</v>
      </c>
      <c r="F12" s="60" t="e">
        <f>IF(#REF!&gt;0,#REF!,0)</f>
        <v>#REF!</v>
      </c>
      <c r="G12" s="60" t="e">
        <f>IF(#REF!&gt;0,#REF!,0)</f>
        <v>#REF!</v>
      </c>
      <c r="H12" s="60"/>
      <c r="I12" s="60" t="e">
        <f>IF(#REF!&gt;0,#REF!,0)</f>
        <v>#REF!</v>
      </c>
      <c r="J12" s="60"/>
      <c r="K12" s="60" t="e">
        <f>IF(#REF!&gt;0,#REF!,0)</f>
        <v>#REF!</v>
      </c>
      <c r="L12" s="60"/>
      <c r="M12" s="60" t="e">
        <f>IF(#REF!&gt;0,#REF!,0)</f>
        <v>#REF!</v>
      </c>
      <c r="N12" s="60">
        <v>0</v>
      </c>
      <c r="O12" s="60">
        <v>0</v>
      </c>
      <c r="P12" s="60">
        <v>0</v>
      </c>
      <c r="Q12" s="60">
        <v>0</v>
      </c>
      <c r="R12" s="61">
        <v>0</v>
      </c>
      <c r="S12" s="61">
        <v>0</v>
      </c>
      <c r="T12" s="61">
        <v>0</v>
      </c>
      <c r="U12" s="60">
        <v>0</v>
      </c>
      <c r="V12" s="62">
        <v>0</v>
      </c>
      <c r="W12" s="163" t="e">
        <f t="shared" si="0"/>
        <v>#REF!</v>
      </c>
    </row>
    <row r="13" spans="1:23" ht="12.6" x14ac:dyDescent="0.2">
      <c r="A13" s="50" t="e">
        <f t="shared" si="1"/>
        <v>#REF!</v>
      </c>
      <c r="B13" s="60" t="e">
        <f>IF(#REF!&gt;0,#REF!,0)</f>
        <v>#REF!</v>
      </c>
      <c r="C13" s="60"/>
      <c r="D13" s="60" t="e">
        <f>IF(#REF!&gt;0,#REF!,0)</f>
        <v>#REF!</v>
      </c>
      <c r="E13" s="60" t="e">
        <f>IF(#REF!&gt;0,#REF!,0)</f>
        <v>#REF!</v>
      </c>
      <c r="F13" s="60" t="e">
        <f>IF(#REF!&gt;0,#REF!,0)</f>
        <v>#REF!</v>
      </c>
      <c r="G13" s="60" t="e">
        <f>IF(#REF!&gt;0,#REF!,0)</f>
        <v>#REF!</v>
      </c>
      <c r="H13" s="60"/>
      <c r="I13" s="60" t="e">
        <f>IF(#REF!&gt;0,#REF!,0)</f>
        <v>#REF!</v>
      </c>
      <c r="J13" s="60"/>
      <c r="K13" s="60" t="e">
        <f>IF(#REF!&gt;0,#REF!,0)</f>
        <v>#REF!</v>
      </c>
      <c r="L13" s="60"/>
      <c r="M13" s="60" t="e">
        <f>IF(#REF!&gt;0,#REF!,0)</f>
        <v>#REF!</v>
      </c>
      <c r="N13" s="60">
        <v>0</v>
      </c>
      <c r="O13" s="60">
        <v>0</v>
      </c>
      <c r="P13" s="60">
        <v>0</v>
      </c>
      <c r="Q13" s="60">
        <v>0</v>
      </c>
      <c r="R13" s="61">
        <v>0</v>
      </c>
      <c r="S13" s="61">
        <v>0</v>
      </c>
      <c r="T13" s="61">
        <v>0</v>
      </c>
      <c r="U13" s="60">
        <v>0</v>
      </c>
      <c r="V13" s="62">
        <v>0</v>
      </c>
      <c r="W13" s="163" t="e">
        <f t="shared" si="0"/>
        <v>#REF!</v>
      </c>
    </row>
    <row r="14" spans="1:23" ht="12.6" x14ac:dyDescent="0.2">
      <c r="A14" s="50" t="e">
        <f t="shared" si="1"/>
        <v>#REF!</v>
      </c>
      <c r="B14" s="60" t="e">
        <f>IF(#REF!&gt;0,#REF!,0)</f>
        <v>#REF!</v>
      </c>
      <c r="C14" s="60"/>
      <c r="D14" s="60" t="e">
        <f>IF(#REF!&gt;0,#REF!,0)</f>
        <v>#REF!</v>
      </c>
      <c r="E14" s="60" t="e">
        <f>IF(#REF!&gt;0,#REF!,0)</f>
        <v>#REF!</v>
      </c>
      <c r="F14" s="60" t="e">
        <f>IF(#REF!&gt;0,#REF!,0)</f>
        <v>#REF!</v>
      </c>
      <c r="G14" s="60" t="e">
        <f>IF(#REF!&gt;0,#REF!,0)</f>
        <v>#REF!</v>
      </c>
      <c r="H14" s="60"/>
      <c r="I14" s="60" t="e">
        <f>IF(#REF!&gt;0,#REF!,0)</f>
        <v>#REF!</v>
      </c>
      <c r="J14" s="60"/>
      <c r="K14" s="60" t="e">
        <f>IF(#REF!&gt;0,#REF!,0)</f>
        <v>#REF!</v>
      </c>
      <c r="L14" s="60"/>
      <c r="M14" s="60" t="e">
        <f>IF(#REF!&gt;0,#REF!,0)</f>
        <v>#REF!</v>
      </c>
      <c r="N14" s="60">
        <v>0</v>
      </c>
      <c r="O14" s="60">
        <v>0</v>
      </c>
      <c r="P14" s="60">
        <v>0</v>
      </c>
      <c r="Q14" s="60">
        <v>0</v>
      </c>
      <c r="R14" s="61">
        <v>0</v>
      </c>
      <c r="S14" s="61">
        <v>0</v>
      </c>
      <c r="T14" s="61">
        <v>0</v>
      </c>
      <c r="U14" s="60">
        <v>0</v>
      </c>
      <c r="V14" s="62">
        <v>0</v>
      </c>
      <c r="W14" s="163" t="e">
        <f t="shared" si="0"/>
        <v>#REF!</v>
      </c>
    </row>
    <row r="15" spans="1:23" ht="12.6" x14ac:dyDescent="0.2">
      <c r="A15" s="50" t="e">
        <f t="shared" si="1"/>
        <v>#REF!</v>
      </c>
      <c r="B15" s="60" t="e">
        <f>IF(#REF!&gt;0,#REF!,0)</f>
        <v>#REF!</v>
      </c>
      <c r="C15" s="60"/>
      <c r="D15" s="60" t="e">
        <f>IF(#REF!&gt;0,#REF!,0)</f>
        <v>#REF!</v>
      </c>
      <c r="E15" s="60" t="e">
        <f>IF(#REF!&gt;0,#REF!,0)</f>
        <v>#REF!</v>
      </c>
      <c r="F15" s="60" t="e">
        <f>IF(#REF!&gt;0,#REF!,0)</f>
        <v>#REF!</v>
      </c>
      <c r="G15" s="60" t="e">
        <f>IF(#REF!&gt;0,#REF!,0)</f>
        <v>#REF!</v>
      </c>
      <c r="H15" s="60"/>
      <c r="I15" s="60" t="e">
        <f>IF(#REF!&gt;0,#REF!,0)</f>
        <v>#REF!</v>
      </c>
      <c r="J15" s="60"/>
      <c r="K15" s="60" t="e">
        <f>IF(#REF!&gt;0,#REF!,0)</f>
        <v>#REF!</v>
      </c>
      <c r="L15" s="60"/>
      <c r="M15" s="60" t="e">
        <f>IF(#REF!&gt;0,#REF!,0)</f>
        <v>#REF!</v>
      </c>
      <c r="N15" s="60">
        <v>0</v>
      </c>
      <c r="O15" s="60">
        <v>0</v>
      </c>
      <c r="P15" s="60">
        <v>0</v>
      </c>
      <c r="Q15" s="60">
        <v>0</v>
      </c>
      <c r="R15" s="61">
        <v>0</v>
      </c>
      <c r="S15" s="61">
        <v>0</v>
      </c>
      <c r="T15" s="61">
        <v>0</v>
      </c>
      <c r="U15" s="60">
        <v>0</v>
      </c>
      <c r="V15" s="62">
        <v>0</v>
      </c>
      <c r="W15" s="163" t="e">
        <f t="shared" si="0"/>
        <v>#REF!</v>
      </c>
    </row>
    <row r="16" spans="1:23" ht="12.6" x14ac:dyDescent="0.2">
      <c r="A16" s="50" t="e">
        <f t="shared" si="1"/>
        <v>#REF!</v>
      </c>
      <c r="B16" s="60" t="e">
        <f>IF(#REF!&gt;0,#REF!,0)</f>
        <v>#REF!</v>
      </c>
      <c r="C16" s="60"/>
      <c r="D16" s="60" t="e">
        <f>IF(#REF!&gt;0,#REF!,0)</f>
        <v>#REF!</v>
      </c>
      <c r="E16" s="60" t="e">
        <f>IF(#REF!&gt;0,#REF!,0)</f>
        <v>#REF!</v>
      </c>
      <c r="F16" s="60" t="e">
        <f>IF(#REF!&gt;0,#REF!,0)</f>
        <v>#REF!</v>
      </c>
      <c r="G16" s="60" t="e">
        <f>IF(#REF!&gt;0,#REF!,0)</f>
        <v>#REF!</v>
      </c>
      <c r="H16" s="60"/>
      <c r="I16" s="60" t="e">
        <f>IF(#REF!&gt;0,#REF!,0)</f>
        <v>#REF!</v>
      </c>
      <c r="J16" s="60"/>
      <c r="K16" s="60" t="e">
        <f>IF(#REF!&gt;0,#REF!,0)</f>
        <v>#REF!</v>
      </c>
      <c r="L16" s="60"/>
      <c r="M16" s="60" t="e">
        <f>IF(#REF!&gt;0,#REF!,0)</f>
        <v>#REF!</v>
      </c>
      <c r="N16" s="60">
        <v>0</v>
      </c>
      <c r="O16" s="60">
        <v>0</v>
      </c>
      <c r="P16" s="60">
        <v>0</v>
      </c>
      <c r="Q16" s="60">
        <v>0</v>
      </c>
      <c r="R16" s="61">
        <v>0</v>
      </c>
      <c r="S16" s="61">
        <v>0</v>
      </c>
      <c r="T16" s="61">
        <v>0</v>
      </c>
      <c r="U16" s="60">
        <v>0</v>
      </c>
      <c r="V16" s="62">
        <v>0</v>
      </c>
      <c r="W16" s="163" t="e">
        <f t="shared" si="0"/>
        <v>#REF!</v>
      </c>
    </row>
    <row r="17" spans="1:23" ht="12.6" x14ac:dyDescent="0.2">
      <c r="A17" s="50" t="e">
        <f t="shared" si="1"/>
        <v>#REF!</v>
      </c>
      <c r="B17" s="60" t="e">
        <f>IF(#REF!&gt;0,#REF!,0)</f>
        <v>#REF!</v>
      </c>
      <c r="C17" s="60"/>
      <c r="D17" s="60" t="e">
        <f>IF(#REF!&gt;0,#REF!,0)</f>
        <v>#REF!</v>
      </c>
      <c r="E17" s="60" t="e">
        <f>IF(#REF!&gt;0,#REF!,0)</f>
        <v>#REF!</v>
      </c>
      <c r="F17" s="60" t="e">
        <f>IF(#REF!&gt;0,#REF!,0)</f>
        <v>#REF!</v>
      </c>
      <c r="G17" s="60" t="e">
        <f>IF(#REF!&gt;0,#REF!,0)</f>
        <v>#REF!</v>
      </c>
      <c r="H17" s="60"/>
      <c r="I17" s="60" t="e">
        <f>IF(#REF!&gt;0,#REF!,0)</f>
        <v>#REF!</v>
      </c>
      <c r="J17" s="60"/>
      <c r="K17" s="60" t="e">
        <f>IF(#REF!&gt;0,#REF!,0)</f>
        <v>#REF!</v>
      </c>
      <c r="L17" s="60"/>
      <c r="M17" s="60" t="e">
        <f>IF(#REF!&gt;0,#REF!,0)</f>
        <v>#REF!</v>
      </c>
      <c r="N17" s="60">
        <v>0</v>
      </c>
      <c r="O17" s="60">
        <v>0</v>
      </c>
      <c r="P17" s="60">
        <v>0</v>
      </c>
      <c r="Q17" s="60">
        <v>0</v>
      </c>
      <c r="R17" s="61">
        <v>0</v>
      </c>
      <c r="S17" s="61">
        <v>0</v>
      </c>
      <c r="T17" s="61">
        <v>0</v>
      </c>
      <c r="U17" s="60">
        <v>0</v>
      </c>
      <c r="V17" s="62">
        <v>0</v>
      </c>
      <c r="W17" s="163" t="e">
        <f t="shared" si="0"/>
        <v>#REF!</v>
      </c>
    </row>
    <row r="18" spans="1:23" ht="12.6" x14ac:dyDescent="0.2">
      <c r="A18" s="50" t="e">
        <f t="shared" si="1"/>
        <v>#REF!</v>
      </c>
      <c r="B18" s="60" t="e">
        <f>IF(#REF!&gt;0,#REF!,0)</f>
        <v>#REF!</v>
      </c>
      <c r="C18" s="60"/>
      <c r="D18" s="60" t="e">
        <f>IF(#REF!&gt;0,#REF!,0)</f>
        <v>#REF!</v>
      </c>
      <c r="E18" s="60" t="e">
        <f>IF(#REF!&gt;0,#REF!,0)</f>
        <v>#REF!</v>
      </c>
      <c r="F18" s="60" t="e">
        <f>IF(#REF!&gt;0,#REF!,0)</f>
        <v>#REF!</v>
      </c>
      <c r="G18" s="60" t="e">
        <f>IF(#REF!&gt;0,#REF!,0)</f>
        <v>#REF!</v>
      </c>
      <c r="H18" s="60"/>
      <c r="I18" s="60" t="e">
        <f>IF(#REF!&gt;0,#REF!,0)</f>
        <v>#REF!</v>
      </c>
      <c r="J18" s="60"/>
      <c r="K18" s="60" t="e">
        <f>IF(#REF!&gt;0,#REF!,0)</f>
        <v>#REF!</v>
      </c>
      <c r="L18" s="60"/>
      <c r="M18" s="60" t="e">
        <f>IF(#REF!&gt;0,#REF!,0)</f>
        <v>#REF!</v>
      </c>
      <c r="N18" s="60">
        <v>0</v>
      </c>
      <c r="O18" s="60">
        <v>0</v>
      </c>
      <c r="P18" s="60">
        <v>0</v>
      </c>
      <c r="Q18" s="60">
        <v>0</v>
      </c>
      <c r="R18" s="61">
        <v>0</v>
      </c>
      <c r="S18" s="61">
        <v>0</v>
      </c>
      <c r="T18" s="61">
        <v>0</v>
      </c>
      <c r="U18" s="60">
        <v>0</v>
      </c>
      <c r="V18" s="62">
        <v>0</v>
      </c>
      <c r="W18" s="163" t="e">
        <f t="shared" si="0"/>
        <v>#REF!</v>
      </c>
    </row>
    <row r="19" spans="1:23" ht="12.6" x14ac:dyDescent="0.2">
      <c r="A19" s="50" t="e">
        <f t="shared" si="1"/>
        <v>#REF!</v>
      </c>
      <c r="B19" s="60" t="e">
        <f>IF(#REF!&gt;0,#REF!,0)</f>
        <v>#REF!</v>
      </c>
      <c r="C19" s="60"/>
      <c r="D19" s="60" t="e">
        <f>IF(#REF!&gt;0,#REF!,0)</f>
        <v>#REF!</v>
      </c>
      <c r="E19" s="60" t="e">
        <f>IF(#REF!&gt;0,#REF!,0)</f>
        <v>#REF!</v>
      </c>
      <c r="F19" s="60" t="e">
        <f>IF(#REF!&gt;0,#REF!,0)</f>
        <v>#REF!</v>
      </c>
      <c r="G19" s="60" t="e">
        <f>IF(#REF!&gt;0,#REF!,0)</f>
        <v>#REF!</v>
      </c>
      <c r="H19" s="60"/>
      <c r="I19" s="60" t="e">
        <f>IF(#REF!&gt;0,#REF!,0)</f>
        <v>#REF!</v>
      </c>
      <c r="J19" s="60"/>
      <c r="K19" s="60" t="e">
        <f>IF(#REF!&gt;0,#REF!,0)</f>
        <v>#REF!</v>
      </c>
      <c r="L19" s="60"/>
      <c r="M19" s="60" t="e">
        <f>IF(#REF!&gt;0,#REF!,0)</f>
        <v>#REF!</v>
      </c>
      <c r="N19" s="60">
        <v>0</v>
      </c>
      <c r="O19" s="60">
        <v>0</v>
      </c>
      <c r="P19" s="60">
        <v>0</v>
      </c>
      <c r="Q19" s="60">
        <v>0</v>
      </c>
      <c r="R19" s="61">
        <v>0</v>
      </c>
      <c r="S19" s="61">
        <v>0</v>
      </c>
      <c r="T19" s="61">
        <v>0</v>
      </c>
      <c r="U19" s="60">
        <v>0</v>
      </c>
      <c r="V19" s="62">
        <v>0</v>
      </c>
      <c r="W19" s="163" t="e">
        <f t="shared" si="0"/>
        <v>#REF!</v>
      </c>
    </row>
    <row r="20" spans="1:23" ht="12.6" x14ac:dyDescent="0.2">
      <c r="A20" s="50" t="e">
        <f t="shared" si="1"/>
        <v>#REF!</v>
      </c>
      <c r="B20" s="60" t="e">
        <f>IF(#REF!&gt;0,#REF!,0)</f>
        <v>#REF!</v>
      </c>
      <c r="C20" s="60"/>
      <c r="D20" s="60" t="e">
        <f>IF(#REF!&gt;0,#REF!,0)</f>
        <v>#REF!</v>
      </c>
      <c r="E20" s="60" t="e">
        <f>IF(#REF!&gt;0,#REF!,0)</f>
        <v>#REF!</v>
      </c>
      <c r="F20" s="60" t="e">
        <f>IF(#REF!&gt;0,#REF!,0)</f>
        <v>#REF!</v>
      </c>
      <c r="G20" s="60" t="e">
        <f>IF(#REF!&gt;0,#REF!,0)</f>
        <v>#REF!</v>
      </c>
      <c r="H20" s="60"/>
      <c r="I20" s="60" t="e">
        <f>IF(#REF!&gt;0,#REF!,0)</f>
        <v>#REF!</v>
      </c>
      <c r="J20" s="60"/>
      <c r="K20" s="60" t="e">
        <f>IF(#REF!&gt;0,#REF!,0)</f>
        <v>#REF!</v>
      </c>
      <c r="L20" s="60"/>
      <c r="M20" s="60" t="e">
        <f>IF(#REF!&gt;0,#REF!,0)</f>
        <v>#REF!</v>
      </c>
      <c r="N20" s="60">
        <v>0</v>
      </c>
      <c r="O20" s="60">
        <v>0</v>
      </c>
      <c r="P20" s="60">
        <v>0</v>
      </c>
      <c r="Q20" s="60">
        <v>0</v>
      </c>
      <c r="R20" s="61">
        <v>0</v>
      </c>
      <c r="S20" s="61">
        <v>0</v>
      </c>
      <c r="T20" s="61">
        <v>0</v>
      </c>
      <c r="U20" s="60">
        <v>0</v>
      </c>
      <c r="V20" s="62">
        <v>0</v>
      </c>
      <c r="W20" s="163" t="e">
        <f t="shared" si="0"/>
        <v>#REF!</v>
      </c>
    </row>
    <row r="21" spans="1:23" ht="12.6" x14ac:dyDescent="0.2">
      <c r="A21" s="50" t="e">
        <f t="shared" si="1"/>
        <v>#REF!</v>
      </c>
      <c r="B21" s="60" t="e">
        <f>IF(#REF!&gt;0,#REF!,0)</f>
        <v>#REF!</v>
      </c>
      <c r="C21" s="60"/>
      <c r="D21" s="60" t="e">
        <f>IF(#REF!&gt;0,#REF!,0)</f>
        <v>#REF!</v>
      </c>
      <c r="E21" s="60" t="e">
        <f>IF(#REF!&gt;0,#REF!,0)</f>
        <v>#REF!</v>
      </c>
      <c r="F21" s="60" t="e">
        <f>IF(#REF!&gt;0,#REF!,0)</f>
        <v>#REF!</v>
      </c>
      <c r="G21" s="60" t="e">
        <f>IF(#REF!&gt;0,#REF!,0)</f>
        <v>#REF!</v>
      </c>
      <c r="H21" s="60"/>
      <c r="I21" s="60" t="e">
        <f>IF(#REF!&gt;0,#REF!,0)</f>
        <v>#REF!</v>
      </c>
      <c r="J21" s="60"/>
      <c r="K21" s="60" t="e">
        <f>IF(#REF!&gt;0,#REF!,0)</f>
        <v>#REF!</v>
      </c>
      <c r="L21" s="60"/>
      <c r="M21" s="60" t="e">
        <f>IF(#REF!&gt;0,#REF!,0)</f>
        <v>#REF!</v>
      </c>
      <c r="N21" s="60">
        <v>0</v>
      </c>
      <c r="O21" s="60">
        <v>0</v>
      </c>
      <c r="P21" s="60">
        <v>0</v>
      </c>
      <c r="Q21" s="60">
        <v>0</v>
      </c>
      <c r="R21" s="61">
        <v>0</v>
      </c>
      <c r="S21" s="61">
        <v>0</v>
      </c>
      <c r="T21" s="61">
        <v>0</v>
      </c>
      <c r="U21" s="60">
        <v>0</v>
      </c>
      <c r="V21" s="62">
        <v>0</v>
      </c>
      <c r="W21" s="163" t="e">
        <f t="shared" si="0"/>
        <v>#REF!</v>
      </c>
    </row>
    <row r="22" spans="1:23" ht="12.6" x14ac:dyDescent="0.2">
      <c r="A22" s="50" t="e">
        <f t="shared" si="1"/>
        <v>#REF!</v>
      </c>
      <c r="B22" s="60" t="e">
        <f>IF(#REF!&gt;0,#REF!,0)</f>
        <v>#REF!</v>
      </c>
      <c r="C22" s="60"/>
      <c r="D22" s="60" t="e">
        <f>IF(#REF!&gt;0,#REF!,0)</f>
        <v>#REF!</v>
      </c>
      <c r="E22" s="60" t="e">
        <f>IF(#REF!&gt;0,#REF!,0)</f>
        <v>#REF!</v>
      </c>
      <c r="F22" s="60" t="e">
        <f>IF(#REF!&gt;0,#REF!,0)</f>
        <v>#REF!</v>
      </c>
      <c r="G22" s="60" t="e">
        <f>IF(#REF!&gt;0,#REF!,0)</f>
        <v>#REF!</v>
      </c>
      <c r="H22" s="60"/>
      <c r="I22" s="60" t="e">
        <f>IF(#REF!&gt;0,#REF!,0)</f>
        <v>#REF!</v>
      </c>
      <c r="J22" s="60"/>
      <c r="K22" s="60" t="e">
        <f>IF(#REF!&gt;0,#REF!,0)</f>
        <v>#REF!</v>
      </c>
      <c r="L22" s="60"/>
      <c r="M22" s="60" t="e">
        <f>IF(#REF!&gt;0,#REF!,0)</f>
        <v>#REF!</v>
      </c>
      <c r="N22" s="60">
        <v>0</v>
      </c>
      <c r="O22" s="60">
        <v>0</v>
      </c>
      <c r="P22" s="60">
        <v>0</v>
      </c>
      <c r="Q22" s="60">
        <v>0</v>
      </c>
      <c r="R22" s="61">
        <v>0</v>
      </c>
      <c r="S22" s="61">
        <v>0</v>
      </c>
      <c r="T22" s="61">
        <v>0</v>
      </c>
      <c r="U22" s="60">
        <v>0</v>
      </c>
      <c r="V22" s="62">
        <v>0</v>
      </c>
      <c r="W22" s="163" t="e">
        <f t="shared" si="0"/>
        <v>#REF!</v>
      </c>
    </row>
    <row r="23" spans="1:23" ht="12.6" x14ac:dyDescent="0.2">
      <c r="A23" s="50" t="e">
        <f t="shared" si="1"/>
        <v>#REF!</v>
      </c>
      <c r="B23" s="60" t="e">
        <f>IF(#REF!&gt;0,#REF!,0)</f>
        <v>#REF!</v>
      </c>
      <c r="C23" s="60"/>
      <c r="D23" s="60" t="e">
        <f>IF(#REF!&gt;0,#REF!,0)</f>
        <v>#REF!</v>
      </c>
      <c r="E23" s="60" t="e">
        <f>IF(#REF!&gt;0,#REF!,0)</f>
        <v>#REF!</v>
      </c>
      <c r="F23" s="60" t="e">
        <f>IF(#REF!&gt;0,#REF!,0)</f>
        <v>#REF!</v>
      </c>
      <c r="G23" s="60" t="e">
        <f>IF(#REF!&gt;0,#REF!,0)</f>
        <v>#REF!</v>
      </c>
      <c r="H23" s="60"/>
      <c r="I23" s="60" t="e">
        <f>IF(#REF!&gt;0,#REF!,0)</f>
        <v>#REF!</v>
      </c>
      <c r="J23" s="60"/>
      <c r="K23" s="60" t="e">
        <f>IF(#REF!&gt;0,#REF!,0)</f>
        <v>#REF!</v>
      </c>
      <c r="L23" s="60"/>
      <c r="M23" s="60" t="e">
        <f>IF(#REF!&gt;0,#REF!,0)</f>
        <v>#REF!</v>
      </c>
      <c r="N23" s="60">
        <v>0</v>
      </c>
      <c r="O23" s="60">
        <v>0</v>
      </c>
      <c r="P23" s="60">
        <v>0</v>
      </c>
      <c r="Q23" s="60">
        <v>0</v>
      </c>
      <c r="R23" s="61">
        <v>0</v>
      </c>
      <c r="S23" s="61">
        <v>0</v>
      </c>
      <c r="T23" s="61">
        <v>0</v>
      </c>
      <c r="U23" s="60">
        <v>0</v>
      </c>
      <c r="V23" s="62">
        <v>0</v>
      </c>
      <c r="W23" s="163" t="e">
        <f t="shared" si="0"/>
        <v>#REF!</v>
      </c>
    </row>
    <row r="24" spans="1:23" ht="12.6" x14ac:dyDescent="0.2">
      <c r="A24" s="50" t="e">
        <f t="shared" si="1"/>
        <v>#REF!</v>
      </c>
      <c r="B24" s="60" t="e">
        <f>IF(#REF!&gt;0,#REF!,0)</f>
        <v>#REF!</v>
      </c>
      <c r="C24" s="60"/>
      <c r="D24" s="60" t="e">
        <f>IF(#REF!&gt;0,#REF!,0)</f>
        <v>#REF!</v>
      </c>
      <c r="E24" s="60" t="e">
        <f>IF(#REF!&gt;0,#REF!,0)</f>
        <v>#REF!</v>
      </c>
      <c r="F24" s="60" t="e">
        <f>IF(#REF!&gt;0,#REF!,0)</f>
        <v>#REF!</v>
      </c>
      <c r="G24" s="60" t="e">
        <f>IF(#REF!&gt;0,#REF!,0)</f>
        <v>#REF!</v>
      </c>
      <c r="H24" s="60"/>
      <c r="I24" s="60" t="e">
        <f>IF(#REF!&gt;0,#REF!,0)</f>
        <v>#REF!</v>
      </c>
      <c r="J24" s="60"/>
      <c r="K24" s="60" t="e">
        <f>IF(#REF!&gt;0,#REF!,0)</f>
        <v>#REF!</v>
      </c>
      <c r="L24" s="60"/>
      <c r="M24" s="60" t="e">
        <f>IF(#REF!&gt;0,#REF!,0)</f>
        <v>#REF!</v>
      </c>
      <c r="N24" s="60">
        <v>0</v>
      </c>
      <c r="O24" s="60">
        <v>0</v>
      </c>
      <c r="P24" s="60">
        <v>0</v>
      </c>
      <c r="Q24" s="60">
        <v>0</v>
      </c>
      <c r="R24" s="61">
        <v>0</v>
      </c>
      <c r="S24" s="61">
        <v>0</v>
      </c>
      <c r="T24" s="61">
        <v>0</v>
      </c>
      <c r="U24" s="60">
        <v>0</v>
      </c>
      <c r="V24" s="62">
        <v>0</v>
      </c>
      <c r="W24" s="163" t="e">
        <f t="shared" si="0"/>
        <v>#REF!</v>
      </c>
    </row>
    <row r="25" spans="1:23" ht="12.6" x14ac:dyDescent="0.2">
      <c r="A25" s="50" t="e">
        <f t="shared" si="1"/>
        <v>#REF!</v>
      </c>
      <c r="B25" s="60" t="e">
        <f>IF(#REF!&gt;0,#REF!,0)</f>
        <v>#REF!</v>
      </c>
      <c r="C25" s="60"/>
      <c r="D25" s="60" t="e">
        <f>IF(#REF!&gt;0,#REF!,0)</f>
        <v>#REF!</v>
      </c>
      <c r="E25" s="60" t="e">
        <f>IF(#REF!&gt;0,#REF!,0)</f>
        <v>#REF!</v>
      </c>
      <c r="F25" s="60" t="e">
        <f>IF(#REF!&gt;0,#REF!,0)</f>
        <v>#REF!</v>
      </c>
      <c r="G25" s="60" t="e">
        <f>IF(#REF!&gt;0,#REF!,0)</f>
        <v>#REF!</v>
      </c>
      <c r="H25" s="60"/>
      <c r="I25" s="60" t="e">
        <f>IF(#REF!&gt;0,#REF!,0)</f>
        <v>#REF!</v>
      </c>
      <c r="J25" s="60"/>
      <c r="K25" s="60" t="e">
        <f>IF(#REF!&gt;0,#REF!,0)</f>
        <v>#REF!</v>
      </c>
      <c r="L25" s="60"/>
      <c r="M25" s="60" t="e">
        <f>IF(#REF!&gt;0,#REF!,0)</f>
        <v>#REF!</v>
      </c>
      <c r="N25" s="60">
        <v>0</v>
      </c>
      <c r="O25" s="60">
        <v>0</v>
      </c>
      <c r="P25" s="60">
        <v>0</v>
      </c>
      <c r="Q25" s="60">
        <v>0</v>
      </c>
      <c r="R25" s="61">
        <v>0</v>
      </c>
      <c r="S25" s="61">
        <v>0</v>
      </c>
      <c r="T25" s="61">
        <v>0</v>
      </c>
      <c r="U25" s="60">
        <v>0</v>
      </c>
      <c r="V25" s="62">
        <v>0</v>
      </c>
      <c r="W25" s="163" t="e">
        <f t="shared" si="0"/>
        <v>#REF!</v>
      </c>
    </row>
    <row r="26" spans="1:23" ht="12.6" x14ac:dyDescent="0.2">
      <c r="A26" s="50" t="e">
        <f t="shared" si="1"/>
        <v>#REF!</v>
      </c>
      <c r="B26" s="60" t="e">
        <f>IF(#REF!&gt;0,#REF!,0)</f>
        <v>#REF!</v>
      </c>
      <c r="C26" s="60"/>
      <c r="D26" s="60" t="e">
        <f>IF(#REF!&gt;0,#REF!,0)</f>
        <v>#REF!</v>
      </c>
      <c r="E26" s="60" t="e">
        <f>IF(#REF!&gt;0,#REF!,0)</f>
        <v>#REF!</v>
      </c>
      <c r="F26" s="60" t="e">
        <f>IF(#REF!&gt;0,#REF!,0)</f>
        <v>#REF!</v>
      </c>
      <c r="G26" s="60" t="e">
        <f>IF(#REF!&gt;0,#REF!,0)</f>
        <v>#REF!</v>
      </c>
      <c r="H26" s="60"/>
      <c r="I26" s="60" t="e">
        <f>IF(#REF!&gt;0,#REF!,0)</f>
        <v>#REF!</v>
      </c>
      <c r="J26" s="60"/>
      <c r="K26" s="60" t="e">
        <f>IF(#REF!&gt;0,#REF!,0)</f>
        <v>#REF!</v>
      </c>
      <c r="L26" s="60"/>
      <c r="M26" s="60" t="e">
        <f>IF(#REF!&gt;0,#REF!,0)</f>
        <v>#REF!</v>
      </c>
      <c r="N26" s="60">
        <v>0</v>
      </c>
      <c r="O26" s="60">
        <v>0</v>
      </c>
      <c r="P26" s="60">
        <v>0</v>
      </c>
      <c r="Q26" s="60">
        <v>0</v>
      </c>
      <c r="R26" s="61">
        <v>0</v>
      </c>
      <c r="S26" s="61">
        <v>0</v>
      </c>
      <c r="T26" s="61">
        <v>0</v>
      </c>
      <c r="U26" s="60">
        <v>0</v>
      </c>
      <c r="V26" s="62">
        <v>0</v>
      </c>
      <c r="W26" s="163" t="e">
        <f t="shared" si="0"/>
        <v>#REF!</v>
      </c>
    </row>
    <row r="27" spans="1:23" ht="12.6" x14ac:dyDescent="0.2">
      <c r="A27" s="50" t="e">
        <f t="shared" si="1"/>
        <v>#REF!</v>
      </c>
      <c r="B27" s="60" t="e">
        <f>IF(#REF!&gt;0,#REF!,0)</f>
        <v>#REF!</v>
      </c>
      <c r="C27" s="60"/>
      <c r="D27" s="60" t="e">
        <f>IF(#REF!&gt;0,#REF!,0)</f>
        <v>#REF!</v>
      </c>
      <c r="E27" s="60" t="e">
        <f>IF(#REF!&gt;0,#REF!,0)</f>
        <v>#REF!</v>
      </c>
      <c r="F27" s="60" t="e">
        <f>IF(#REF!&gt;0,#REF!,0)</f>
        <v>#REF!</v>
      </c>
      <c r="G27" s="60" t="e">
        <f>IF(#REF!&gt;0,#REF!,0)</f>
        <v>#REF!</v>
      </c>
      <c r="H27" s="60"/>
      <c r="I27" s="60" t="e">
        <f>IF(#REF!&gt;0,#REF!,0)</f>
        <v>#REF!</v>
      </c>
      <c r="J27" s="60"/>
      <c r="K27" s="60" t="e">
        <f>IF(#REF!&gt;0,#REF!,0)</f>
        <v>#REF!</v>
      </c>
      <c r="L27" s="60"/>
      <c r="M27" s="60" t="e">
        <f>IF(#REF!&gt;0,#REF!,0)</f>
        <v>#REF!</v>
      </c>
      <c r="N27" s="60">
        <v>0</v>
      </c>
      <c r="O27" s="60">
        <v>0</v>
      </c>
      <c r="P27" s="60">
        <v>0</v>
      </c>
      <c r="Q27" s="60">
        <v>0</v>
      </c>
      <c r="R27" s="61">
        <v>0</v>
      </c>
      <c r="S27" s="61">
        <v>0</v>
      </c>
      <c r="T27" s="61">
        <v>0</v>
      </c>
      <c r="U27" s="60">
        <v>0</v>
      </c>
      <c r="V27" s="62">
        <v>0</v>
      </c>
      <c r="W27" s="163" t="e">
        <f t="shared" si="0"/>
        <v>#REF!</v>
      </c>
    </row>
    <row r="28" spans="1:23" ht="12.6" x14ac:dyDescent="0.2">
      <c r="A28" s="50" t="e">
        <f t="shared" si="1"/>
        <v>#REF!</v>
      </c>
      <c r="B28" s="60" t="e">
        <f>IF(#REF!&gt;0,#REF!,0)</f>
        <v>#REF!</v>
      </c>
      <c r="C28" s="60"/>
      <c r="D28" s="60" t="e">
        <f>IF(#REF!&gt;0,#REF!,0)</f>
        <v>#REF!</v>
      </c>
      <c r="E28" s="60" t="e">
        <f>IF(#REF!&gt;0,#REF!,0)</f>
        <v>#REF!</v>
      </c>
      <c r="F28" s="60" t="e">
        <f>IF(#REF!&gt;0,#REF!,0)</f>
        <v>#REF!</v>
      </c>
      <c r="G28" s="60" t="e">
        <f>IF(#REF!&gt;0,#REF!,0)</f>
        <v>#REF!</v>
      </c>
      <c r="H28" s="60"/>
      <c r="I28" s="60" t="e">
        <f>IF(#REF!&gt;0,#REF!,0)</f>
        <v>#REF!</v>
      </c>
      <c r="J28" s="60"/>
      <c r="K28" s="60" t="e">
        <f>IF(#REF!&gt;0,#REF!,0)</f>
        <v>#REF!</v>
      </c>
      <c r="L28" s="60"/>
      <c r="M28" s="60" t="e">
        <f>IF(#REF!&gt;0,#REF!,0)</f>
        <v>#REF!</v>
      </c>
      <c r="N28" s="60">
        <v>0</v>
      </c>
      <c r="O28" s="60">
        <v>0</v>
      </c>
      <c r="P28" s="60">
        <v>0</v>
      </c>
      <c r="Q28" s="60">
        <v>0</v>
      </c>
      <c r="R28" s="61">
        <v>0</v>
      </c>
      <c r="S28" s="61">
        <v>0</v>
      </c>
      <c r="T28" s="61">
        <v>0</v>
      </c>
      <c r="U28" s="60">
        <v>0</v>
      </c>
      <c r="V28" s="62">
        <v>0</v>
      </c>
      <c r="W28" s="163" t="e">
        <f t="shared" si="0"/>
        <v>#REF!</v>
      </c>
    </row>
    <row r="29" spans="1:23" ht="12.6" x14ac:dyDescent="0.2">
      <c r="A29" s="50" t="e">
        <f t="shared" si="1"/>
        <v>#REF!</v>
      </c>
      <c r="B29" s="60" t="e">
        <f>IF(#REF!&gt;0,#REF!,0)</f>
        <v>#REF!</v>
      </c>
      <c r="C29" s="60"/>
      <c r="D29" s="60" t="e">
        <f>IF(#REF!&gt;0,#REF!,0)</f>
        <v>#REF!</v>
      </c>
      <c r="E29" s="60" t="e">
        <f>IF(#REF!&gt;0,#REF!,0)</f>
        <v>#REF!</v>
      </c>
      <c r="F29" s="60" t="e">
        <f>IF(#REF!&gt;0,#REF!,0)</f>
        <v>#REF!</v>
      </c>
      <c r="G29" s="60" t="e">
        <f>IF(#REF!&gt;0,#REF!,0)</f>
        <v>#REF!</v>
      </c>
      <c r="H29" s="60"/>
      <c r="I29" s="60" t="e">
        <f>IF(#REF!&gt;0,#REF!,0)</f>
        <v>#REF!</v>
      </c>
      <c r="J29" s="60"/>
      <c r="K29" s="60" t="e">
        <f>IF(#REF!&gt;0,#REF!,0)</f>
        <v>#REF!</v>
      </c>
      <c r="L29" s="60"/>
      <c r="M29" s="60" t="e">
        <f>IF(#REF!&gt;0,#REF!,0)</f>
        <v>#REF!</v>
      </c>
      <c r="N29" s="60">
        <v>0</v>
      </c>
      <c r="O29" s="60">
        <v>0</v>
      </c>
      <c r="P29" s="60">
        <v>0</v>
      </c>
      <c r="Q29" s="60">
        <v>0</v>
      </c>
      <c r="R29" s="61">
        <v>0</v>
      </c>
      <c r="S29" s="61">
        <v>0</v>
      </c>
      <c r="T29" s="61">
        <v>0</v>
      </c>
      <c r="U29" s="60">
        <v>0</v>
      </c>
      <c r="V29" s="62">
        <v>0</v>
      </c>
      <c r="W29" s="163" t="e">
        <f t="shared" si="0"/>
        <v>#REF!</v>
      </c>
    </row>
    <row r="30" spans="1:23" ht="12.6" x14ac:dyDescent="0.2">
      <c r="A30" s="50" t="e">
        <f t="shared" si="1"/>
        <v>#REF!</v>
      </c>
      <c r="B30" s="60" t="e">
        <f>IF(#REF!&gt;0,#REF!,0)</f>
        <v>#REF!</v>
      </c>
      <c r="C30" s="60"/>
      <c r="D30" s="60" t="e">
        <f>IF(#REF!&gt;0,#REF!,0)</f>
        <v>#REF!</v>
      </c>
      <c r="E30" s="60" t="e">
        <f>IF(#REF!&gt;0,#REF!,0)</f>
        <v>#REF!</v>
      </c>
      <c r="F30" s="60" t="e">
        <f>IF(#REF!&gt;0,#REF!,0)</f>
        <v>#REF!</v>
      </c>
      <c r="G30" s="60" t="e">
        <f>IF(#REF!&gt;0,#REF!,0)</f>
        <v>#REF!</v>
      </c>
      <c r="H30" s="60"/>
      <c r="I30" s="60" t="e">
        <f>IF(#REF!&gt;0,#REF!,0)</f>
        <v>#REF!</v>
      </c>
      <c r="J30" s="60"/>
      <c r="K30" s="60" t="e">
        <f>IF(#REF!&gt;0,#REF!,0)</f>
        <v>#REF!</v>
      </c>
      <c r="L30" s="60"/>
      <c r="M30" s="60" t="e">
        <f>IF(#REF!&gt;0,#REF!,0)</f>
        <v>#REF!</v>
      </c>
      <c r="N30" s="60">
        <v>0</v>
      </c>
      <c r="O30" s="60">
        <v>0</v>
      </c>
      <c r="P30" s="60">
        <v>0</v>
      </c>
      <c r="Q30" s="60">
        <v>0</v>
      </c>
      <c r="R30" s="61">
        <v>0</v>
      </c>
      <c r="S30" s="61">
        <v>0</v>
      </c>
      <c r="T30" s="61">
        <v>0</v>
      </c>
      <c r="U30" s="60">
        <v>0</v>
      </c>
      <c r="V30" s="62">
        <v>0</v>
      </c>
      <c r="W30" s="163" t="e">
        <f t="shared" si="0"/>
        <v>#REF!</v>
      </c>
    </row>
    <row r="31" spans="1:23" ht="12.6" x14ac:dyDescent="0.2">
      <c r="A31" s="50" t="e">
        <f t="shared" si="1"/>
        <v>#REF!</v>
      </c>
      <c r="B31" s="60" t="e">
        <f>IF(#REF!&gt;0,#REF!,0)</f>
        <v>#REF!</v>
      </c>
      <c r="C31" s="60"/>
      <c r="D31" s="60" t="e">
        <f>IF(#REF!&gt;0,#REF!,0)</f>
        <v>#REF!</v>
      </c>
      <c r="E31" s="60" t="e">
        <f>IF(#REF!&gt;0,#REF!,0)</f>
        <v>#REF!</v>
      </c>
      <c r="F31" s="60" t="e">
        <f>IF(#REF!&gt;0,#REF!,0)</f>
        <v>#REF!</v>
      </c>
      <c r="G31" s="60" t="e">
        <f>IF(#REF!&gt;0,#REF!,0)</f>
        <v>#REF!</v>
      </c>
      <c r="H31" s="60"/>
      <c r="I31" s="60" t="e">
        <f>IF(#REF!&gt;0,#REF!,0)</f>
        <v>#REF!</v>
      </c>
      <c r="J31" s="60"/>
      <c r="K31" s="60" t="e">
        <f>IF(#REF!&gt;0,#REF!,0)</f>
        <v>#REF!</v>
      </c>
      <c r="L31" s="60"/>
      <c r="M31" s="60" t="e">
        <f>IF(#REF!&gt;0,#REF!,0)</f>
        <v>#REF!</v>
      </c>
      <c r="N31" s="60">
        <v>0</v>
      </c>
      <c r="O31" s="60">
        <v>0</v>
      </c>
      <c r="P31" s="60">
        <v>0</v>
      </c>
      <c r="Q31" s="60">
        <v>0</v>
      </c>
      <c r="R31" s="61">
        <v>0</v>
      </c>
      <c r="S31" s="61">
        <v>0</v>
      </c>
      <c r="T31" s="61">
        <v>0</v>
      </c>
      <c r="U31" s="60">
        <v>0</v>
      </c>
      <c r="V31" s="62">
        <v>0</v>
      </c>
      <c r="W31" s="163" t="e">
        <f t="shared" si="0"/>
        <v>#REF!</v>
      </c>
    </row>
    <row r="32" spans="1:23" ht="12.6" x14ac:dyDescent="0.2">
      <c r="A32" s="50" t="e">
        <f t="shared" si="1"/>
        <v>#REF!</v>
      </c>
      <c r="B32" s="60" t="e">
        <f>IF(#REF!&gt;0,#REF!,0)</f>
        <v>#REF!</v>
      </c>
      <c r="C32" s="60"/>
      <c r="D32" s="60" t="e">
        <f>IF(#REF!&gt;0,#REF!,0)</f>
        <v>#REF!</v>
      </c>
      <c r="E32" s="60" t="e">
        <f>IF(#REF!&gt;0,#REF!,0)</f>
        <v>#REF!</v>
      </c>
      <c r="F32" s="60" t="e">
        <f>IF(#REF!&gt;0,#REF!,0)</f>
        <v>#REF!</v>
      </c>
      <c r="G32" s="60" t="e">
        <f>IF(#REF!&gt;0,#REF!,0)</f>
        <v>#REF!</v>
      </c>
      <c r="H32" s="60"/>
      <c r="I32" s="60" t="e">
        <f>IF(#REF!&gt;0,#REF!,0)</f>
        <v>#REF!</v>
      </c>
      <c r="J32" s="60"/>
      <c r="K32" s="60" t="e">
        <f>IF(#REF!&gt;0,#REF!,0)</f>
        <v>#REF!</v>
      </c>
      <c r="L32" s="60"/>
      <c r="M32" s="60" t="e">
        <f>IF(#REF!&gt;0,#REF!,0)</f>
        <v>#REF!</v>
      </c>
      <c r="N32" s="60">
        <v>0</v>
      </c>
      <c r="O32" s="60">
        <v>0</v>
      </c>
      <c r="P32" s="60">
        <v>0</v>
      </c>
      <c r="Q32" s="60">
        <v>0</v>
      </c>
      <c r="R32" s="61">
        <v>0</v>
      </c>
      <c r="S32" s="61">
        <v>0</v>
      </c>
      <c r="T32" s="61">
        <v>0</v>
      </c>
      <c r="U32" s="60">
        <v>0</v>
      </c>
      <c r="V32" s="62">
        <v>0</v>
      </c>
      <c r="W32" s="163" t="e">
        <f t="shared" si="0"/>
        <v>#REF!</v>
      </c>
    </row>
    <row r="33" spans="1:23" ht="12.6" x14ac:dyDescent="0.2">
      <c r="A33" s="50" t="e">
        <f t="shared" si="1"/>
        <v>#REF!</v>
      </c>
      <c r="B33" s="60" t="e">
        <f>IF(#REF!&gt;0,#REF!,0)</f>
        <v>#REF!</v>
      </c>
      <c r="C33" s="60"/>
      <c r="D33" s="60" t="e">
        <f>IF(#REF!&gt;0,#REF!,0)</f>
        <v>#REF!</v>
      </c>
      <c r="E33" s="60" t="e">
        <f>IF(#REF!&gt;0,#REF!,0)</f>
        <v>#REF!</v>
      </c>
      <c r="F33" s="60" t="e">
        <f>IF(#REF!&gt;0,#REF!,0)</f>
        <v>#REF!</v>
      </c>
      <c r="G33" s="60" t="e">
        <f>IF(#REF!&gt;0,#REF!,0)</f>
        <v>#REF!</v>
      </c>
      <c r="H33" s="60"/>
      <c r="I33" s="60" t="e">
        <f>IF(#REF!&gt;0,#REF!,0)</f>
        <v>#REF!</v>
      </c>
      <c r="J33" s="60"/>
      <c r="K33" s="60" t="e">
        <f>IF(#REF!&gt;0,#REF!,0)</f>
        <v>#REF!</v>
      </c>
      <c r="L33" s="60"/>
      <c r="M33" s="60" t="e">
        <f>IF(#REF!&gt;0,#REF!,0)</f>
        <v>#REF!</v>
      </c>
      <c r="N33" s="60">
        <v>0</v>
      </c>
      <c r="O33" s="60">
        <v>0</v>
      </c>
      <c r="P33" s="60">
        <v>0</v>
      </c>
      <c r="Q33" s="60">
        <v>0</v>
      </c>
      <c r="R33" s="61">
        <v>0</v>
      </c>
      <c r="S33" s="61">
        <v>0</v>
      </c>
      <c r="T33" s="61">
        <v>0</v>
      </c>
      <c r="U33" s="60">
        <v>0</v>
      </c>
      <c r="V33" s="62">
        <v>0</v>
      </c>
      <c r="W33" s="163" t="e">
        <f t="shared" si="0"/>
        <v>#REF!</v>
      </c>
    </row>
    <row r="34" spans="1:23" ht="12.6" x14ac:dyDescent="0.2">
      <c r="A34" s="50" t="e">
        <f t="shared" si="1"/>
        <v>#REF!</v>
      </c>
      <c r="B34" s="60" t="e">
        <f>IF(#REF!&gt;0,#REF!,0)</f>
        <v>#REF!</v>
      </c>
      <c r="C34" s="60"/>
      <c r="D34" s="60" t="e">
        <f>IF(#REF!&gt;0,#REF!,0)</f>
        <v>#REF!</v>
      </c>
      <c r="E34" s="60" t="e">
        <f>IF(#REF!&gt;0,#REF!,0)</f>
        <v>#REF!</v>
      </c>
      <c r="F34" s="60" t="e">
        <f>IF(#REF!&gt;0,#REF!,0)</f>
        <v>#REF!</v>
      </c>
      <c r="G34" s="60" t="e">
        <f>IF(#REF!&gt;0,#REF!,0)</f>
        <v>#REF!</v>
      </c>
      <c r="H34" s="60"/>
      <c r="I34" s="60" t="e">
        <f>IF(#REF!&gt;0,#REF!,0)</f>
        <v>#REF!</v>
      </c>
      <c r="J34" s="60"/>
      <c r="K34" s="60" t="e">
        <f>IF(#REF!&gt;0,#REF!,0)</f>
        <v>#REF!</v>
      </c>
      <c r="L34" s="60"/>
      <c r="M34" s="60" t="e">
        <f>IF(#REF!&gt;0,#REF!,0)</f>
        <v>#REF!</v>
      </c>
      <c r="N34" s="60">
        <v>0</v>
      </c>
      <c r="O34" s="60">
        <v>0</v>
      </c>
      <c r="P34" s="60">
        <v>0</v>
      </c>
      <c r="Q34" s="60">
        <v>0</v>
      </c>
      <c r="R34" s="61">
        <v>0</v>
      </c>
      <c r="S34" s="61">
        <v>0</v>
      </c>
      <c r="T34" s="61">
        <v>0</v>
      </c>
      <c r="U34" s="60">
        <v>0</v>
      </c>
      <c r="V34" s="62">
        <v>0</v>
      </c>
      <c r="W34" s="163" t="e">
        <f t="shared" si="0"/>
        <v>#REF!</v>
      </c>
    </row>
    <row r="35" spans="1:23" ht="12.6" x14ac:dyDescent="0.2">
      <c r="A35" s="50" t="e">
        <f t="shared" si="1"/>
        <v>#REF!</v>
      </c>
      <c r="B35" s="60" t="e">
        <f>IF(#REF!&gt;0,#REF!,0)</f>
        <v>#REF!</v>
      </c>
      <c r="C35" s="60"/>
      <c r="D35" s="60" t="e">
        <f>IF(#REF!&gt;0,#REF!,0)</f>
        <v>#REF!</v>
      </c>
      <c r="E35" s="60" t="e">
        <f>IF(#REF!&gt;0,#REF!,0)</f>
        <v>#REF!</v>
      </c>
      <c r="F35" s="60" t="e">
        <f>IF(#REF!&gt;0,#REF!,0)</f>
        <v>#REF!</v>
      </c>
      <c r="G35" s="60" t="e">
        <f>IF(#REF!&gt;0,#REF!,0)</f>
        <v>#REF!</v>
      </c>
      <c r="H35" s="60"/>
      <c r="I35" s="60" t="e">
        <f>IF(#REF!&gt;0,#REF!,0)</f>
        <v>#REF!</v>
      </c>
      <c r="J35" s="60"/>
      <c r="K35" s="60" t="e">
        <f>IF(#REF!&gt;0,#REF!,0)</f>
        <v>#REF!</v>
      </c>
      <c r="L35" s="60"/>
      <c r="M35" s="60" t="e">
        <f>IF(#REF!&gt;0,#REF!,0)</f>
        <v>#REF!</v>
      </c>
      <c r="N35" s="60">
        <v>0</v>
      </c>
      <c r="O35" s="60">
        <v>0</v>
      </c>
      <c r="P35" s="60">
        <v>0</v>
      </c>
      <c r="Q35" s="60">
        <v>0</v>
      </c>
      <c r="R35" s="61">
        <v>0</v>
      </c>
      <c r="S35" s="61">
        <v>0</v>
      </c>
      <c r="T35" s="61">
        <v>0</v>
      </c>
      <c r="U35" s="60">
        <v>0</v>
      </c>
      <c r="V35" s="62">
        <v>0</v>
      </c>
      <c r="W35" s="163" t="e">
        <f t="shared" si="0"/>
        <v>#REF!</v>
      </c>
    </row>
    <row r="36" spans="1:23" ht="12.6" x14ac:dyDescent="0.2">
      <c r="A36" s="50" t="e">
        <f t="shared" si="1"/>
        <v>#REF!</v>
      </c>
      <c r="B36" s="60" t="e">
        <f>IF(#REF!&gt;0,#REF!,0)</f>
        <v>#REF!</v>
      </c>
      <c r="C36" s="60"/>
      <c r="D36" s="60" t="e">
        <f>IF(#REF!&gt;0,#REF!,0)</f>
        <v>#REF!</v>
      </c>
      <c r="E36" s="60" t="e">
        <f>IF(#REF!&gt;0,#REF!,0)</f>
        <v>#REF!</v>
      </c>
      <c r="F36" s="60" t="e">
        <f>IF(#REF!&gt;0,#REF!,0)</f>
        <v>#REF!</v>
      </c>
      <c r="G36" s="60" t="e">
        <f>IF(#REF!&gt;0,#REF!,0)</f>
        <v>#REF!</v>
      </c>
      <c r="H36" s="60"/>
      <c r="I36" s="60" t="e">
        <f>IF(#REF!&gt;0,#REF!,0)</f>
        <v>#REF!</v>
      </c>
      <c r="J36" s="60"/>
      <c r="K36" s="60" t="e">
        <f>IF(#REF!&gt;0,#REF!,0)</f>
        <v>#REF!</v>
      </c>
      <c r="L36" s="60"/>
      <c r="M36" s="60" t="e">
        <f>IF(#REF!&gt;0,#REF!,0)</f>
        <v>#REF!</v>
      </c>
      <c r="N36" s="60">
        <v>0</v>
      </c>
      <c r="O36" s="60">
        <v>0</v>
      </c>
      <c r="P36" s="60">
        <v>0</v>
      </c>
      <c r="Q36" s="60">
        <v>0</v>
      </c>
      <c r="R36" s="61">
        <v>0</v>
      </c>
      <c r="S36" s="61">
        <v>0</v>
      </c>
      <c r="T36" s="61">
        <v>0</v>
      </c>
      <c r="U36" s="60">
        <v>0</v>
      </c>
      <c r="V36" s="62">
        <v>0</v>
      </c>
      <c r="W36" s="163" t="e">
        <f t="shared" si="0"/>
        <v>#REF!</v>
      </c>
    </row>
    <row r="37" spans="1:23" ht="12.6" x14ac:dyDescent="0.2">
      <c r="A37" s="50" t="e">
        <f t="shared" si="1"/>
        <v>#REF!</v>
      </c>
      <c r="B37" s="60" t="e">
        <f>IF(#REF!&gt;0,#REF!,0)</f>
        <v>#REF!</v>
      </c>
      <c r="C37" s="60"/>
      <c r="D37" s="60" t="e">
        <f>IF(#REF!&gt;0,#REF!,0)</f>
        <v>#REF!</v>
      </c>
      <c r="E37" s="60" t="e">
        <f>IF(#REF!&gt;0,#REF!,0)</f>
        <v>#REF!</v>
      </c>
      <c r="F37" s="60" t="e">
        <f>IF(#REF!&gt;0,#REF!,0)</f>
        <v>#REF!</v>
      </c>
      <c r="G37" s="60" t="e">
        <f>IF(#REF!&gt;0,#REF!,0)</f>
        <v>#REF!</v>
      </c>
      <c r="H37" s="60"/>
      <c r="I37" s="60" t="e">
        <f>IF(#REF!&gt;0,#REF!,0)</f>
        <v>#REF!</v>
      </c>
      <c r="J37" s="60"/>
      <c r="K37" s="60" t="e">
        <f>IF(#REF!&gt;0,#REF!,0)</f>
        <v>#REF!</v>
      </c>
      <c r="L37" s="60"/>
      <c r="M37" s="60" t="e">
        <f>IF(#REF!&gt;0,#REF!,0)</f>
        <v>#REF!</v>
      </c>
      <c r="N37" s="60">
        <v>0</v>
      </c>
      <c r="O37" s="60">
        <v>0</v>
      </c>
      <c r="P37" s="60">
        <v>0</v>
      </c>
      <c r="Q37" s="60">
        <v>0</v>
      </c>
      <c r="R37" s="61">
        <v>0</v>
      </c>
      <c r="S37" s="61">
        <v>0</v>
      </c>
      <c r="T37" s="61">
        <v>0</v>
      </c>
      <c r="U37" s="60">
        <v>0</v>
      </c>
      <c r="V37" s="62">
        <v>0</v>
      </c>
      <c r="W37" s="163" t="e">
        <f t="shared" si="0"/>
        <v>#REF!</v>
      </c>
    </row>
    <row r="38" spans="1:23" ht="12.6" x14ac:dyDescent="0.2">
      <c r="A38" s="50" t="e">
        <f t="shared" si="1"/>
        <v>#REF!</v>
      </c>
      <c r="B38" s="60" t="e">
        <f>IF(#REF!&gt;0,#REF!,0)</f>
        <v>#REF!</v>
      </c>
      <c r="C38" s="60"/>
      <c r="D38" s="60" t="e">
        <f>IF(#REF!&gt;0,#REF!,0)</f>
        <v>#REF!</v>
      </c>
      <c r="E38" s="60" t="e">
        <f>IF(#REF!&gt;0,#REF!,0)</f>
        <v>#REF!</v>
      </c>
      <c r="F38" s="60" t="e">
        <f>IF(#REF!&gt;0,#REF!,0)</f>
        <v>#REF!</v>
      </c>
      <c r="G38" s="60" t="e">
        <f>IF(#REF!&gt;0,#REF!,0)</f>
        <v>#REF!</v>
      </c>
      <c r="H38" s="60"/>
      <c r="I38" s="60" t="e">
        <f>IF(#REF!&gt;0,#REF!,0)</f>
        <v>#REF!</v>
      </c>
      <c r="J38" s="60"/>
      <c r="K38" s="60" t="e">
        <f>IF(#REF!&gt;0,#REF!,0)</f>
        <v>#REF!</v>
      </c>
      <c r="L38" s="60"/>
      <c r="M38" s="60" t="e">
        <f>IF(#REF!&gt;0,#REF!,0)</f>
        <v>#REF!</v>
      </c>
      <c r="N38" s="60">
        <v>0</v>
      </c>
      <c r="O38" s="60">
        <v>0</v>
      </c>
      <c r="P38" s="60">
        <v>0</v>
      </c>
      <c r="Q38" s="60">
        <v>0</v>
      </c>
      <c r="R38" s="61">
        <v>0</v>
      </c>
      <c r="S38" s="61">
        <v>0</v>
      </c>
      <c r="T38" s="61">
        <v>0</v>
      </c>
      <c r="U38" s="60">
        <v>0</v>
      </c>
      <c r="V38" s="62">
        <v>0</v>
      </c>
      <c r="W38" s="163" t="e">
        <f t="shared" si="0"/>
        <v>#REF!</v>
      </c>
    </row>
    <row r="39" spans="1:23" ht="12.6" x14ac:dyDescent="0.2">
      <c r="A39" s="50" t="e">
        <f t="shared" si="1"/>
        <v>#REF!</v>
      </c>
      <c r="B39" s="60" t="e">
        <f>IF(#REF!&gt;0,#REF!,0)</f>
        <v>#REF!</v>
      </c>
      <c r="C39" s="60"/>
      <c r="D39" s="60" t="e">
        <f>IF(#REF!&gt;0,#REF!,0)</f>
        <v>#REF!</v>
      </c>
      <c r="E39" s="60" t="e">
        <f>IF(#REF!&gt;0,#REF!,0)</f>
        <v>#REF!</v>
      </c>
      <c r="F39" s="60" t="e">
        <f>IF(#REF!&gt;0,#REF!,0)</f>
        <v>#REF!</v>
      </c>
      <c r="G39" s="60" t="e">
        <f>IF(#REF!&gt;0,#REF!,0)</f>
        <v>#REF!</v>
      </c>
      <c r="H39" s="60"/>
      <c r="I39" s="60" t="e">
        <f>IF(#REF!&gt;0,#REF!,0)</f>
        <v>#REF!</v>
      </c>
      <c r="J39" s="60"/>
      <c r="K39" s="60" t="e">
        <f>IF(#REF!&gt;0,#REF!,0)</f>
        <v>#REF!</v>
      </c>
      <c r="L39" s="60"/>
      <c r="M39" s="60" t="e">
        <f>IF(#REF!&gt;0,#REF!,0)</f>
        <v>#REF!</v>
      </c>
      <c r="N39" s="60">
        <v>0</v>
      </c>
      <c r="O39" s="60">
        <v>0</v>
      </c>
      <c r="P39" s="60">
        <v>0</v>
      </c>
      <c r="Q39" s="60">
        <v>0</v>
      </c>
      <c r="R39" s="61">
        <v>0</v>
      </c>
      <c r="S39" s="61">
        <v>0</v>
      </c>
      <c r="T39" s="61">
        <v>0</v>
      </c>
      <c r="U39" s="60">
        <v>0</v>
      </c>
      <c r="V39" s="62">
        <v>0</v>
      </c>
      <c r="W39" s="163" t="e">
        <f t="shared" si="0"/>
        <v>#REF!</v>
      </c>
    </row>
    <row r="40" spans="1:23" ht="12.6" x14ac:dyDescent="0.2">
      <c r="A40" s="50" t="e">
        <f t="shared" si="1"/>
        <v>#REF!</v>
      </c>
      <c r="B40" s="60" t="e">
        <f>IF(#REF!&gt;0,#REF!,0)</f>
        <v>#REF!</v>
      </c>
      <c r="C40" s="60"/>
      <c r="D40" s="60" t="e">
        <f>IF(#REF!&gt;0,#REF!,0)</f>
        <v>#REF!</v>
      </c>
      <c r="E40" s="60" t="e">
        <f>IF(#REF!&gt;0,#REF!,0)</f>
        <v>#REF!</v>
      </c>
      <c r="F40" s="60" t="e">
        <f>IF(#REF!&gt;0,#REF!,0)</f>
        <v>#REF!</v>
      </c>
      <c r="G40" s="60" t="e">
        <f>IF(#REF!&gt;0,#REF!,0)</f>
        <v>#REF!</v>
      </c>
      <c r="H40" s="60"/>
      <c r="I40" s="60" t="e">
        <f>IF(#REF!&gt;0,#REF!,0)</f>
        <v>#REF!</v>
      </c>
      <c r="J40" s="60"/>
      <c r="K40" s="60" t="e">
        <f>IF(#REF!&gt;0,#REF!,0)</f>
        <v>#REF!</v>
      </c>
      <c r="L40" s="60"/>
      <c r="M40" s="60" t="e">
        <f>IF(#REF!&gt;0,#REF!,0)</f>
        <v>#REF!</v>
      </c>
      <c r="N40" s="60">
        <v>0</v>
      </c>
      <c r="O40" s="60">
        <v>0</v>
      </c>
      <c r="P40" s="60">
        <v>0</v>
      </c>
      <c r="Q40" s="60">
        <v>0</v>
      </c>
      <c r="R40" s="61">
        <v>0</v>
      </c>
      <c r="S40" s="61">
        <v>0</v>
      </c>
      <c r="T40" s="61">
        <v>0</v>
      </c>
      <c r="U40" s="60">
        <v>0</v>
      </c>
      <c r="V40" s="62">
        <v>0</v>
      </c>
      <c r="W40" s="163" t="e">
        <f t="shared" ref="W40:W67" si="2">SUM(B40:V40)</f>
        <v>#REF!</v>
      </c>
    </row>
    <row r="41" spans="1:23" ht="12.6" x14ac:dyDescent="0.2">
      <c r="A41" s="50" t="e">
        <f t="shared" ref="A41:A67" si="3">IF(A40&lt;&gt;"",IF(A40+31&lt;fim,IF(A40&lt;fim,EOMONTH(A40,0)+1,fim),""),"")</f>
        <v>#REF!</v>
      </c>
      <c r="B41" s="60" t="e">
        <f>IF(#REF!&gt;0,#REF!,0)</f>
        <v>#REF!</v>
      </c>
      <c r="C41" s="60"/>
      <c r="D41" s="60" t="e">
        <f>IF(#REF!&gt;0,#REF!,0)</f>
        <v>#REF!</v>
      </c>
      <c r="E41" s="60" t="e">
        <f>IF(#REF!&gt;0,#REF!,0)</f>
        <v>#REF!</v>
      </c>
      <c r="F41" s="60" t="e">
        <f>IF(#REF!&gt;0,#REF!,0)</f>
        <v>#REF!</v>
      </c>
      <c r="G41" s="60" t="e">
        <f>IF(#REF!&gt;0,#REF!,0)</f>
        <v>#REF!</v>
      </c>
      <c r="H41" s="60"/>
      <c r="I41" s="60" t="e">
        <f>IF(#REF!&gt;0,#REF!,0)</f>
        <v>#REF!</v>
      </c>
      <c r="J41" s="60"/>
      <c r="K41" s="60" t="e">
        <f>IF(#REF!&gt;0,#REF!,0)</f>
        <v>#REF!</v>
      </c>
      <c r="L41" s="60"/>
      <c r="M41" s="60" t="e">
        <f>IF(#REF!&gt;0,#REF!,0)</f>
        <v>#REF!</v>
      </c>
      <c r="N41" s="60">
        <v>0</v>
      </c>
      <c r="O41" s="60">
        <v>0</v>
      </c>
      <c r="P41" s="60">
        <v>0</v>
      </c>
      <c r="Q41" s="60">
        <v>0</v>
      </c>
      <c r="R41" s="61">
        <v>0</v>
      </c>
      <c r="S41" s="61">
        <v>0</v>
      </c>
      <c r="T41" s="61">
        <v>0</v>
      </c>
      <c r="U41" s="60">
        <v>0</v>
      </c>
      <c r="V41" s="62">
        <v>0</v>
      </c>
      <c r="W41" s="163" t="e">
        <f t="shared" si="2"/>
        <v>#REF!</v>
      </c>
    </row>
    <row r="42" spans="1:23" ht="12.6" x14ac:dyDescent="0.2">
      <c r="A42" s="50" t="e">
        <f t="shared" si="3"/>
        <v>#REF!</v>
      </c>
      <c r="B42" s="60" t="e">
        <f>IF(#REF!&gt;0,#REF!,0)</f>
        <v>#REF!</v>
      </c>
      <c r="C42" s="60"/>
      <c r="D42" s="60" t="e">
        <f>IF(#REF!&gt;0,#REF!,0)</f>
        <v>#REF!</v>
      </c>
      <c r="E42" s="60" t="e">
        <f>IF(#REF!&gt;0,#REF!,0)</f>
        <v>#REF!</v>
      </c>
      <c r="F42" s="60" t="e">
        <f>IF(#REF!&gt;0,#REF!,0)</f>
        <v>#REF!</v>
      </c>
      <c r="G42" s="60" t="e">
        <f>IF(#REF!&gt;0,#REF!,0)</f>
        <v>#REF!</v>
      </c>
      <c r="H42" s="60"/>
      <c r="I42" s="60" t="e">
        <f>IF(#REF!&gt;0,#REF!,0)</f>
        <v>#REF!</v>
      </c>
      <c r="J42" s="60"/>
      <c r="K42" s="60" t="e">
        <f>IF(#REF!&gt;0,#REF!,0)</f>
        <v>#REF!</v>
      </c>
      <c r="L42" s="60"/>
      <c r="M42" s="60" t="e">
        <f>IF(#REF!&gt;0,#REF!,0)</f>
        <v>#REF!</v>
      </c>
      <c r="N42" s="60">
        <v>0</v>
      </c>
      <c r="O42" s="60">
        <v>0</v>
      </c>
      <c r="P42" s="60">
        <v>0</v>
      </c>
      <c r="Q42" s="60">
        <v>0</v>
      </c>
      <c r="R42" s="61">
        <v>0</v>
      </c>
      <c r="S42" s="61">
        <v>0</v>
      </c>
      <c r="T42" s="61">
        <v>0</v>
      </c>
      <c r="U42" s="60">
        <v>0</v>
      </c>
      <c r="V42" s="62">
        <v>0</v>
      </c>
      <c r="W42" s="163" t="e">
        <f t="shared" si="2"/>
        <v>#REF!</v>
      </c>
    </row>
    <row r="43" spans="1:23" ht="12.6" x14ac:dyDescent="0.2">
      <c r="A43" s="50" t="e">
        <f t="shared" si="3"/>
        <v>#REF!</v>
      </c>
      <c r="B43" s="60" t="e">
        <f>IF(#REF!&gt;0,#REF!,0)</f>
        <v>#REF!</v>
      </c>
      <c r="C43" s="60"/>
      <c r="D43" s="60" t="e">
        <f>IF(#REF!&gt;0,#REF!,0)</f>
        <v>#REF!</v>
      </c>
      <c r="E43" s="60" t="e">
        <f>IF(#REF!&gt;0,#REF!,0)</f>
        <v>#REF!</v>
      </c>
      <c r="F43" s="60" t="e">
        <f>IF(#REF!&gt;0,#REF!,0)</f>
        <v>#REF!</v>
      </c>
      <c r="G43" s="60" t="e">
        <f>IF(#REF!&gt;0,#REF!,0)</f>
        <v>#REF!</v>
      </c>
      <c r="H43" s="60"/>
      <c r="I43" s="60" t="e">
        <f>IF(#REF!&gt;0,#REF!,0)</f>
        <v>#REF!</v>
      </c>
      <c r="J43" s="60"/>
      <c r="K43" s="60" t="e">
        <f>IF(#REF!&gt;0,#REF!,0)</f>
        <v>#REF!</v>
      </c>
      <c r="L43" s="60"/>
      <c r="M43" s="60" t="e">
        <f>IF(#REF!&gt;0,#REF!,0)</f>
        <v>#REF!</v>
      </c>
      <c r="N43" s="60">
        <v>0</v>
      </c>
      <c r="O43" s="60">
        <v>0</v>
      </c>
      <c r="P43" s="60">
        <v>0</v>
      </c>
      <c r="Q43" s="60">
        <v>0</v>
      </c>
      <c r="R43" s="61">
        <v>0</v>
      </c>
      <c r="S43" s="61">
        <v>0</v>
      </c>
      <c r="T43" s="61">
        <v>0</v>
      </c>
      <c r="U43" s="60">
        <v>0</v>
      </c>
      <c r="V43" s="62">
        <v>0</v>
      </c>
      <c r="W43" s="163" t="e">
        <f t="shared" si="2"/>
        <v>#REF!</v>
      </c>
    </row>
    <row r="44" spans="1:23" ht="12.6" x14ac:dyDescent="0.2">
      <c r="A44" s="50" t="e">
        <f t="shared" si="3"/>
        <v>#REF!</v>
      </c>
      <c r="B44" s="60" t="e">
        <f>IF(#REF!&gt;0,#REF!,0)</f>
        <v>#REF!</v>
      </c>
      <c r="C44" s="60"/>
      <c r="D44" s="60" t="e">
        <f>IF(#REF!&gt;0,#REF!,0)</f>
        <v>#REF!</v>
      </c>
      <c r="E44" s="60" t="e">
        <f>IF(#REF!&gt;0,#REF!,0)</f>
        <v>#REF!</v>
      </c>
      <c r="F44" s="60" t="e">
        <f>IF(#REF!&gt;0,#REF!,0)</f>
        <v>#REF!</v>
      </c>
      <c r="G44" s="60" t="e">
        <f>IF(#REF!&gt;0,#REF!,0)</f>
        <v>#REF!</v>
      </c>
      <c r="H44" s="60"/>
      <c r="I44" s="60" t="e">
        <f>IF(#REF!&gt;0,#REF!,0)</f>
        <v>#REF!</v>
      </c>
      <c r="J44" s="60"/>
      <c r="K44" s="60" t="e">
        <f>IF(#REF!&gt;0,#REF!,0)</f>
        <v>#REF!</v>
      </c>
      <c r="L44" s="60"/>
      <c r="M44" s="60" t="e">
        <f>IF(#REF!&gt;0,#REF!,0)</f>
        <v>#REF!</v>
      </c>
      <c r="N44" s="60">
        <v>0</v>
      </c>
      <c r="O44" s="60">
        <v>0</v>
      </c>
      <c r="P44" s="60">
        <v>0</v>
      </c>
      <c r="Q44" s="60">
        <v>0</v>
      </c>
      <c r="R44" s="61">
        <v>0</v>
      </c>
      <c r="S44" s="61">
        <v>0</v>
      </c>
      <c r="T44" s="61">
        <v>0</v>
      </c>
      <c r="U44" s="60">
        <v>0</v>
      </c>
      <c r="V44" s="62">
        <v>0</v>
      </c>
      <c r="W44" s="163" t="e">
        <f t="shared" si="2"/>
        <v>#REF!</v>
      </c>
    </row>
    <row r="45" spans="1:23" ht="12.6" x14ac:dyDescent="0.2">
      <c r="A45" s="50" t="e">
        <f t="shared" si="3"/>
        <v>#REF!</v>
      </c>
      <c r="B45" s="60" t="e">
        <f>IF(#REF!&gt;0,#REF!,0)</f>
        <v>#REF!</v>
      </c>
      <c r="C45" s="60"/>
      <c r="D45" s="60" t="e">
        <f>IF(#REF!&gt;0,#REF!,0)</f>
        <v>#REF!</v>
      </c>
      <c r="E45" s="60" t="e">
        <f>IF(#REF!&gt;0,#REF!,0)</f>
        <v>#REF!</v>
      </c>
      <c r="F45" s="60" t="e">
        <f>IF(#REF!&gt;0,#REF!,0)</f>
        <v>#REF!</v>
      </c>
      <c r="G45" s="60" t="e">
        <f>IF(#REF!&gt;0,#REF!,0)</f>
        <v>#REF!</v>
      </c>
      <c r="H45" s="60"/>
      <c r="I45" s="60" t="e">
        <f>IF(#REF!&gt;0,#REF!,0)</f>
        <v>#REF!</v>
      </c>
      <c r="J45" s="60"/>
      <c r="K45" s="60" t="e">
        <f>IF(#REF!&gt;0,#REF!,0)</f>
        <v>#REF!</v>
      </c>
      <c r="L45" s="60"/>
      <c r="M45" s="60" t="e">
        <f>IF(#REF!&gt;0,#REF!,0)</f>
        <v>#REF!</v>
      </c>
      <c r="N45" s="60">
        <v>0</v>
      </c>
      <c r="O45" s="60">
        <v>0</v>
      </c>
      <c r="P45" s="60">
        <v>0</v>
      </c>
      <c r="Q45" s="60">
        <v>0</v>
      </c>
      <c r="R45" s="61">
        <v>0</v>
      </c>
      <c r="S45" s="61">
        <v>0</v>
      </c>
      <c r="T45" s="61">
        <v>0</v>
      </c>
      <c r="U45" s="60">
        <v>0</v>
      </c>
      <c r="V45" s="62">
        <v>0</v>
      </c>
      <c r="W45" s="163" t="e">
        <f t="shared" si="2"/>
        <v>#REF!</v>
      </c>
    </row>
    <row r="46" spans="1:23" ht="12.6" x14ac:dyDescent="0.2">
      <c r="A46" s="50" t="e">
        <f t="shared" si="3"/>
        <v>#REF!</v>
      </c>
      <c r="B46" s="60" t="e">
        <f>IF(#REF!&gt;0,#REF!,0)</f>
        <v>#REF!</v>
      </c>
      <c r="C46" s="60"/>
      <c r="D46" s="60" t="e">
        <f>IF(#REF!&gt;0,#REF!,0)</f>
        <v>#REF!</v>
      </c>
      <c r="E46" s="60" t="e">
        <f>IF(#REF!&gt;0,#REF!,0)</f>
        <v>#REF!</v>
      </c>
      <c r="F46" s="60" t="e">
        <f>IF(#REF!&gt;0,#REF!,0)</f>
        <v>#REF!</v>
      </c>
      <c r="G46" s="60" t="e">
        <f>IF(#REF!&gt;0,#REF!,0)</f>
        <v>#REF!</v>
      </c>
      <c r="H46" s="60"/>
      <c r="I46" s="60" t="e">
        <f>IF(#REF!&gt;0,#REF!,0)</f>
        <v>#REF!</v>
      </c>
      <c r="J46" s="60"/>
      <c r="K46" s="60" t="e">
        <f>IF(#REF!&gt;0,#REF!,0)</f>
        <v>#REF!</v>
      </c>
      <c r="L46" s="60"/>
      <c r="M46" s="60" t="e">
        <f>IF(#REF!&gt;0,#REF!,0)</f>
        <v>#REF!</v>
      </c>
      <c r="N46" s="60">
        <v>0</v>
      </c>
      <c r="O46" s="60">
        <v>0</v>
      </c>
      <c r="P46" s="60">
        <v>0</v>
      </c>
      <c r="Q46" s="60">
        <v>0</v>
      </c>
      <c r="R46" s="61">
        <v>0</v>
      </c>
      <c r="S46" s="61">
        <v>0</v>
      </c>
      <c r="T46" s="61">
        <v>0</v>
      </c>
      <c r="U46" s="60">
        <v>0</v>
      </c>
      <c r="V46" s="62">
        <v>0</v>
      </c>
      <c r="W46" s="163" t="e">
        <f t="shared" si="2"/>
        <v>#REF!</v>
      </c>
    </row>
    <row r="47" spans="1:23" ht="12.6" x14ac:dyDescent="0.2">
      <c r="A47" s="50" t="e">
        <f t="shared" si="3"/>
        <v>#REF!</v>
      </c>
      <c r="B47" s="60" t="e">
        <f>IF(#REF!&gt;0,#REF!,0)</f>
        <v>#REF!</v>
      </c>
      <c r="C47" s="60"/>
      <c r="D47" s="60" t="e">
        <f>IF(#REF!&gt;0,#REF!,0)</f>
        <v>#REF!</v>
      </c>
      <c r="E47" s="60" t="e">
        <f>IF(#REF!&gt;0,#REF!,0)</f>
        <v>#REF!</v>
      </c>
      <c r="F47" s="60" t="e">
        <f>IF(#REF!&gt;0,#REF!,0)</f>
        <v>#REF!</v>
      </c>
      <c r="G47" s="60" t="e">
        <f>IF(#REF!&gt;0,#REF!,0)</f>
        <v>#REF!</v>
      </c>
      <c r="H47" s="60"/>
      <c r="I47" s="60" t="e">
        <f>IF(#REF!&gt;0,#REF!,0)</f>
        <v>#REF!</v>
      </c>
      <c r="J47" s="60"/>
      <c r="K47" s="60" t="e">
        <f>IF(#REF!&gt;0,#REF!,0)</f>
        <v>#REF!</v>
      </c>
      <c r="L47" s="60"/>
      <c r="M47" s="60" t="e">
        <f>IF(#REF!&gt;0,#REF!,0)</f>
        <v>#REF!</v>
      </c>
      <c r="N47" s="60">
        <v>0</v>
      </c>
      <c r="O47" s="60">
        <v>0</v>
      </c>
      <c r="P47" s="60">
        <v>0</v>
      </c>
      <c r="Q47" s="60">
        <v>0</v>
      </c>
      <c r="R47" s="61">
        <v>0</v>
      </c>
      <c r="S47" s="61">
        <v>0</v>
      </c>
      <c r="T47" s="61">
        <v>0</v>
      </c>
      <c r="U47" s="60">
        <v>0</v>
      </c>
      <c r="V47" s="62">
        <v>0</v>
      </c>
      <c r="W47" s="163" t="e">
        <f t="shared" si="2"/>
        <v>#REF!</v>
      </c>
    </row>
    <row r="48" spans="1:23" ht="12.6" x14ac:dyDescent="0.2">
      <c r="A48" s="50" t="e">
        <f t="shared" si="3"/>
        <v>#REF!</v>
      </c>
      <c r="B48" s="60" t="e">
        <f>IF(#REF!&gt;0,#REF!,0)</f>
        <v>#REF!</v>
      </c>
      <c r="C48" s="60"/>
      <c r="D48" s="60" t="e">
        <f>IF(#REF!&gt;0,#REF!,0)</f>
        <v>#REF!</v>
      </c>
      <c r="E48" s="60" t="e">
        <f>IF(#REF!&gt;0,#REF!,0)</f>
        <v>#REF!</v>
      </c>
      <c r="F48" s="60" t="e">
        <f>IF(#REF!&gt;0,#REF!,0)</f>
        <v>#REF!</v>
      </c>
      <c r="G48" s="60" t="e">
        <f>IF(#REF!&gt;0,#REF!,0)</f>
        <v>#REF!</v>
      </c>
      <c r="H48" s="60"/>
      <c r="I48" s="60" t="e">
        <f>IF(#REF!&gt;0,#REF!,0)</f>
        <v>#REF!</v>
      </c>
      <c r="J48" s="60"/>
      <c r="K48" s="60" t="e">
        <f>IF(#REF!&gt;0,#REF!,0)</f>
        <v>#REF!</v>
      </c>
      <c r="L48" s="60"/>
      <c r="M48" s="60" t="e">
        <f>IF(#REF!&gt;0,#REF!,0)</f>
        <v>#REF!</v>
      </c>
      <c r="N48" s="60">
        <v>0</v>
      </c>
      <c r="O48" s="60">
        <v>0</v>
      </c>
      <c r="P48" s="60">
        <v>0</v>
      </c>
      <c r="Q48" s="60">
        <v>0</v>
      </c>
      <c r="R48" s="61">
        <v>0</v>
      </c>
      <c r="S48" s="61">
        <v>0</v>
      </c>
      <c r="T48" s="61">
        <v>0</v>
      </c>
      <c r="U48" s="60">
        <v>0</v>
      </c>
      <c r="V48" s="62">
        <v>0</v>
      </c>
      <c r="W48" s="163" t="e">
        <f t="shared" si="2"/>
        <v>#REF!</v>
      </c>
    </row>
    <row r="49" spans="1:23" ht="12.6" x14ac:dyDescent="0.2">
      <c r="A49" s="50" t="e">
        <f t="shared" si="3"/>
        <v>#REF!</v>
      </c>
      <c r="B49" s="60" t="e">
        <f>IF(#REF!&gt;0,#REF!,0)</f>
        <v>#REF!</v>
      </c>
      <c r="C49" s="60"/>
      <c r="D49" s="60" t="e">
        <f>IF(#REF!&gt;0,#REF!,0)</f>
        <v>#REF!</v>
      </c>
      <c r="E49" s="60" t="e">
        <f>IF(#REF!&gt;0,#REF!,0)</f>
        <v>#REF!</v>
      </c>
      <c r="F49" s="60" t="e">
        <f>IF(#REF!&gt;0,#REF!,0)</f>
        <v>#REF!</v>
      </c>
      <c r="G49" s="60" t="e">
        <f>IF(#REF!&gt;0,#REF!,0)</f>
        <v>#REF!</v>
      </c>
      <c r="H49" s="60"/>
      <c r="I49" s="60" t="e">
        <f>IF(#REF!&gt;0,#REF!,0)</f>
        <v>#REF!</v>
      </c>
      <c r="J49" s="60"/>
      <c r="K49" s="60" t="e">
        <f>IF(#REF!&gt;0,#REF!,0)</f>
        <v>#REF!</v>
      </c>
      <c r="L49" s="60"/>
      <c r="M49" s="60" t="e">
        <f>IF(#REF!&gt;0,#REF!,0)</f>
        <v>#REF!</v>
      </c>
      <c r="N49" s="60">
        <v>0</v>
      </c>
      <c r="O49" s="60">
        <v>0</v>
      </c>
      <c r="P49" s="60">
        <v>0</v>
      </c>
      <c r="Q49" s="60">
        <v>0</v>
      </c>
      <c r="R49" s="61">
        <v>0</v>
      </c>
      <c r="S49" s="61">
        <v>0</v>
      </c>
      <c r="T49" s="61">
        <v>0</v>
      </c>
      <c r="U49" s="60">
        <v>0</v>
      </c>
      <c r="V49" s="62">
        <v>0</v>
      </c>
      <c r="W49" s="163" t="e">
        <f t="shared" si="2"/>
        <v>#REF!</v>
      </c>
    </row>
    <row r="50" spans="1:23" ht="12.6" x14ac:dyDescent="0.2">
      <c r="A50" s="50" t="e">
        <f t="shared" si="3"/>
        <v>#REF!</v>
      </c>
      <c r="B50" s="60" t="e">
        <f>IF(#REF!&gt;0,#REF!,0)</f>
        <v>#REF!</v>
      </c>
      <c r="C50" s="60"/>
      <c r="D50" s="60" t="e">
        <f>IF(#REF!&gt;0,#REF!,0)</f>
        <v>#REF!</v>
      </c>
      <c r="E50" s="60" t="e">
        <f>IF(#REF!&gt;0,#REF!,0)</f>
        <v>#REF!</v>
      </c>
      <c r="F50" s="60" t="e">
        <f>IF(#REF!&gt;0,#REF!,0)</f>
        <v>#REF!</v>
      </c>
      <c r="G50" s="60" t="e">
        <f>IF(#REF!&gt;0,#REF!,0)</f>
        <v>#REF!</v>
      </c>
      <c r="H50" s="60"/>
      <c r="I50" s="60" t="e">
        <f>IF(#REF!&gt;0,#REF!,0)</f>
        <v>#REF!</v>
      </c>
      <c r="J50" s="60"/>
      <c r="K50" s="60" t="e">
        <f>IF(#REF!&gt;0,#REF!,0)</f>
        <v>#REF!</v>
      </c>
      <c r="L50" s="60"/>
      <c r="M50" s="60" t="e">
        <f>IF(#REF!&gt;0,#REF!,0)</f>
        <v>#REF!</v>
      </c>
      <c r="N50" s="60">
        <v>0</v>
      </c>
      <c r="O50" s="60">
        <v>0</v>
      </c>
      <c r="P50" s="60">
        <v>0</v>
      </c>
      <c r="Q50" s="60">
        <v>0</v>
      </c>
      <c r="R50" s="61">
        <v>0</v>
      </c>
      <c r="S50" s="61">
        <v>0</v>
      </c>
      <c r="T50" s="61">
        <v>0</v>
      </c>
      <c r="U50" s="60">
        <v>0</v>
      </c>
      <c r="V50" s="62">
        <v>0</v>
      </c>
      <c r="W50" s="163" t="e">
        <f t="shared" si="2"/>
        <v>#REF!</v>
      </c>
    </row>
    <row r="51" spans="1:23" ht="12.6" x14ac:dyDescent="0.2">
      <c r="A51" s="50" t="e">
        <f t="shared" si="3"/>
        <v>#REF!</v>
      </c>
      <c r="B51" s="60" t="e">
        <f>IF(#REF!&gt;0,#REF!,0)</f>
        <v>#REF!</v>
      </c>
      <c r="C51" s="60"/>
      <c r="D51" s="60" t="e">
        <f>IF(#REF!&gt;0,#REF!,0)</f>
        <v>#REF!</v>
      </c>
      <c r="E51" s="60" t="e">
        <f>IF(#REF!&gt;0,#REF!,0)</f>
        <v>#REF!</v>
      </c>
      <c r="F51" s="60" t="e">
        <f>IF(#REF!&gt;0,#REF!,0)</f>
        <v>#REF!</v>
      </c>
      <c r="G51" s="60" t="e">
        <f>IF(#REF!&gt;0,#REF!,0)</f>
        <v>#REF!</v>
      </c>
      <c r="H51" s="60"/>
      <c r="I51" s="60" t="e">
        <f>IF(#REF!&gt;0,#REF!,0)</f>
        <v>#REF!</v>
      </c>
      <c r="J51" s="60"/>
      <c r="K51" s="60" t="e">
        <f>IF(#REF!&gt;0,#REF!,0)</f>
        <v>#REF!</v>
      </c>
      <c r="L51" s="60"/>
      <c r="M51" s="60" t="e">
        <f>IF(#REF!&gt;0,#REF!,0)</f>
        <v>#REF!</v>
      </c>
      <c r="N51" s="60">
        <v>0</v>
      </c>
      <c r="O51" s="60">
        <v>0</v>
      </c>
      <c r="P51" s="60">
        <v>0</v>
      </c>
      <c r="Q51" s="60">
        <v>0</v>
      </c>
      <c r="R51" s="61">
        <v>0</v>
      </c>
      <c r="S51" s="61">
        <v>0</v>
      </c>
      <c r="T51" s="61">
        <v>0</v>
      </c>
      <c r="U51" s="60">
        <v>0</v>
      </c>
      <c r="V51" s="62">
        <v>0</v>
      </c>
      <c r="W51" s="163" t="e">
        <f t="shared" si="2"/>
        <v>#REF!</v>
      </c>
    </row>
    <row r="52" spans="1:23" ht="12.6" x14ac:dyDescent="0.2">
      <c r="A52" s="50" t="e">
        <f t="shared" si="3"/>
        <v>#REF!</v>
      </c>
      <c r="B52" s="60" t="e">
        <f>IF(#REF!&gt;0,#REF!,0)</f>
        <v>#REF!</v>
      </c>
      <c r="C52" s="60"/>
      <c r="D52" s="60" t="e">
        <f>IF(#REF!&gt;0,#REF!,0)</f>
        <v>#REF!</v>
      </c>
      <c r="E52" s="60" t="e">
        <f>IF(#REF!&gt;0,#REF!,0)</f>
        <v>#REF!</v>
      </c>
      <c r="F52" s="60" t="e">
        <f>IF(#REF!&gt;0,#REF!,0)</f>
        <v>#REF!</v>
      </c>
      <c r="G52" s="60" t="e">
        <f>IF(#REF!&gt;0,#REF!,0)</f>
        <v>#REF!</v>
      </c>
      <c r="H52" s="60"/>
      <c r="I52" s="60" t="e">
        <f>IF(#REF!&gt;0,#REF!,0)</f>
        <v>#REF!</v>
      </c>
      <c r="J52" s="60"/>
      <c r="K52" s="60" t="e">
        <f>IF(#REF!&gt;0,#REF!,0)</f>
        <v>#REF!</v>
      </c>
      <c r="L52" s="60"/>
      <c r="M52" s="60" t="e">
        <f>IF(#REF!&gt;0,#REF!,0)</f>
        <v>#REF!</v>
      </c>
      <c r="N52" s="60">
        <v>0</v>
      </c>
      <c r="O52" s="60">
        <v>0</v>
      </c>
      <c r="P52" s="60">
        <v>0</v>
      </c>
      <c r="Q52" s="60">
        <v>0</v>
      </c>
      <c r="R52" s="61">
        <v>0</v>
      </c>
      <c r="S52" s="61">
        <v>0</v>
      </c>
      <c r="T52" s="61">
        <v>0</v>
      </c>
      <c r="U52" s="60">
        <v>0</v>
      </c>
      <c r="V52" s="62">
        <v>0</v>
      </c>
      <c r="W52" s="163" t="e">
        <f t="shared" si="2"/>
        <v>#REF!</v>
      </c>
    </row>
    <row r="53" spans="1:23" ht="12.6" x14ac:dyDescent="0.2">
      <c r="A53" s="50" t="e">
        <f t="shared" si="3"/>
        <v>#REF!</v>
      </c>
      <c r="B53" s="60" t="e">
        <f>IF(#REF!&gt;0,#REF!,0)</f>
        <v>#REF!</v>
      </c>
      <c r="C53" s="60"/>
      <c r="D53" s="60" t="e">
        <f>IF(#REF!&gt;0,#REF!,0)</f>
        <v>#REF!</v>
      </c>
      <c r="E53" s="60" t="e">
        <f>IF(#REF!&gt;0,#REF!,0)</f>
        <v>#REF!</v>
      </c>
      <c r="F53" s="60" t="e">
        <f>IF(#REF!&gt;0,#REF!,0)</f>
        <v>#REF!</v>
      </c>
      <c r="G53" s="60" t="e">
        <f>IF(#REF!&gt;0,#REF!,0)</f>
        <v>#REF!</v>
      </c>
      <c r="H53" s="60"/>
      <c r="I53" s="60" t="e">
        <f>IF(#REF!&gt;0,#REF!,0)</f>
        <v>#REF!</v>
      </c>
      <c r="J53" s="60"/>
      <c r="K53" s="60" t="e">
        <f>IF(#REF!&gt;0,#REF!,0)</f>
        <v>#REF!</v>
      </c>
      <c r="L53" s="60"/>
      <c r="M53" s="60" t="e">
        <f>IF(#REF!&gt;0,#REF!,0)</f>
        <v>#REF!</v>
      </c>
      <c r="N53" s="60">
        <v>0</v>
      </c>
      <c r="O53" s="60">
        <v>0</v>
      </c>
      <c r="P53" s="60">
        <v>0</v>
      </c>
      <c r="Q53" s="60">
        <v>0</v>
      </c>
      <c r="R53" s="61">
        <v>0</v>
      </c>
      <c r="S53" s="61">
        <v>0</v>
      </c>
      <c r="T53" s="61">
        <v>0</v>
      </c>
      <c r="U53" s="60">
        <v>0</v>
      </c>
      <c r="V53" s="62">
        <v>0</v>
      </c>
      <c r="W53" s="163" t="e">
        <f t="shared" si="2"/>
        <v>#REF!</v>
      </c>
    </row>
    <row r="54" spans="1:23" ht="12.6" x14ac:dyDescent="0.2">
      <c r="A54" s="50" t="e">
        <f t="shared" si="3"/>
        <v>#REF!</v>
      </c>
      <c r="B54" s="60" t="e">
        <f>IF(#REF!&gt;0,#REF!,0)</f>
        <v>#REF!</v>
      </c>
      <c r="C54" s="60"/>
      <c r="D54" s="60" t="e">
        <f>IF(#REF!&gt;0,#REF!,0)</f>
        <v>#REF!</v>
      </c>
      <c r="E54" s="60" t="e">
        <f>IF(#REF!&gt;0,#REF!,0)</f>
        <v>#REF!</v>
      </c>
      <c r="F54" s="60" t="e">
        <f>IF(#REF!&gt;0,#REF!,0)</f>
        <v>#REF!</v>
      </c>
      <c r="G54" s="60" t="e">
        <f>IF(#REF!&gt;0,#REF!,0)</f>
        <v>#REF!</v>
      </c>
      <c r="H54" s="60"/>
      <c r="I54" s="60" t="e">
        <f>IF(#REF!&gt;0,#REF!,0)</f>
        <v>#REF!</v>
      </c>
      <c r="J54" s="60"/>
      <c r="K54" s="60" t="e">
        <f>IF(#REF!&gt;0,#REF!,0)</f>
        <v>#REF!</v>
      </c>
      <c r="L54" s="60"/>
      <c r="M54" s="60" t="e">
        <f>IF(#REF!&gt;0,#REF!,0)</f>
        <v>#REF!</v>
      </c>
      <c r="N54" s="60">
        <v>0</v>
      </c>
      <c r="O54" s="60">
        <v>0</v>
      </c>
      <c r="P54" s="60">
        <v>0</v>
      </c>
      <c r="Q54" s="60">
        <v>0</v>
      </c>
      <c r="R54" s="61">
        <v>0</v>
      </c>
      <c r="S54" s="61">
        <v>0</v>
      </c>
      <c r="T54" s="61">
        <v>0</v>
      </c>
      <c r="U54" s="60">
        <v>0</v>
      </c>
      <c r="V54" s="62">
        <v>0</v>
      </c>
      <c r="W54" s="163" t="e">
        <f t="shared" si="2"/>
        <v>#REF!</v>
      </c>
    </row>
    <row r="55" spans="1:23" ht="12.6" x14ac:dyDescent="0.2">
      <c r="A55" s="50" t="e">
        <f t="shared" si="3"/>
        <v>#REF!</v>
      </c>
      <c r="B55" s="60" t="e">
        <f>IF(#REF!&gt;0,#REF!,0)</f>
        <v>#REF!</v>
      </c>
      <c r="C55" s="60"/>
      <c r="D55" s="60" t="e">
        <f>IF(#REF!&gt;0,#REF!,0)</f>
        <v>#REF!</v>
      </c>
      <c r="E55" s="60" t="e">
        <f>IF(#REF!&gt;0,#REF!,0)</f>
        <v>#REF!</v>
      </c>
      <c r="F55" s="60" t="e">
        <f>IF(#REF!&gt;0,#REF!,0)</f>
        <v>#REF!</v>
      </c>
      <c r="G55" s="60" t="e">
        <f>IF(#REF!&gt;0,#REF!,0)</f>
        <v>#REF!</v>
      </c>
      <c r="H55" s="60"/>
      <c r="I55" s="60" t="e">
        <f>IF(#REF!&gt;0,#REF!,0)</f>
        <v>#REF!</v>
      </c>
      <c r="J55" s="60"/>
      <c r="K55" s="60" t="e">
        <f>IF(#REF!&gt;0,#REF!,0)</f>
        <v>#REF!</v>
      </c>
      <c r="L55" s="60"/>
      <c r="M55" s="60" t="e">
        <f>IF(#REF!&gt;0,#REF!,0)</f>
        <v>#REF!</v>
      </c>
      <c r="N55" s="60">
        <v>0</v>
      </c>
      <c r="O55" s="60">
        <v>0</v>
      </c>
      <c r="P55" s="60">
        <v>0</v>
      </c>
      <c r="Q55" s="60">
        <v>0</v>
      </c>
      <c r="R55" s="61">
        <v>0</v>
      </c>
      <c r="S55" s="61">
        <v>0</v>
      </c>
      <c r="T55" s="61">
        <v>0</v>
      </c>
      <c r="U55" s="60">
        <v>0</v>
      </c>
      <c r="V55" s="62">
        <v>0</v>
      </c>
      <c r="W55" s="163" t="e">
        <f t="shared" si="2"/>
        <v>#REF!</v>
      </c>
    </row>
    <row r="56" spans="1:23" ht="12.6" x14ac:dyDescent="0.2">
      <c r="A56" s="50" t="e">
        <f t="shared" si="3"/>
        <v>#REF!</v>
      </c>
      <c r="B56" s="60" t="e">
        <f>IF(#REF!&gt;0,#REF!,0)</f>
        <v>#REF!</v>
      </c>
      <c r="C56" s="60"/>
      <c r="D56" s="60" t="e">
        <f>IF(#REF!&gt;0,#REF!,0)</f>
        <v>#REF!</v>
      </c>
      <c r="E56" s="60" t="e">
        <f>IF(#REF!&gt;0,#REF!,0)</f>
        <v>#REF!</v>
      </c>
      <c r="F56" s="60" t="e">
        <f>IF(#REF!&gt;0,#REF!,0)</f>
        <v>#REF!</v>
      </c>
      <c r="G56" s="60" t="e">
        <f>IF(#REF!&gt;0,#REF!,0)</f>
        <v>#REF!</v>
      </c>
      <c r="H56" s="60"/>
      <c r="I56" s="60" t="e">
        <f>IF(#REF!&gt;0,#REF!,0)</f>
        <v>#REF!</v>
      </c>
      <c r="J56" s="60"/>
      <c r="K56" s="60" t="e">
        <f>IF(#REF!&gt;0,#REF!,0)</f>
        <v>#REF!</v>
      </c>
      <c r="L56" s="60"/>
      <c r="M56" s="60" t="e">
        <f>IF(#REF!&gt;0,#REF!,0)</f>
        <v>#REF!</v>
      </c>
      <c r="N56" s="60">
        <v>0</v>
      </c>
      <c r="O56" s="60">
        <v>0</v>
      </c>
      <c r="P56" s="60">
        <v>0</v>
      </c>
      <c r="Q56" s="60">
        <v>0</v>
      </c>
      <c r="R56" s="61">
        <v>0</v>
      </c>
      <c r="S56" s="61">
        <v>0</v>
      </c>
      <c r="T56" s="61">
        <v>0</v>
      </c>
      <c r="U56" s="60">
        <v>0</v>
      </c>
      <c r="V56" s="62">
        <v>0</v>
      </c>
      <c r="W56" s="163" t="e">
        <f t="shared" si="2"/>
        <v>#REF!</v>
      </c>
    </row>
    <row r="57" spans="1:23" ht="12.6" x14ac:dyDescent="0.2">
      <c r="A57" s="50" t="e">
        <f t="shared" si="3"/>
        <v>#REF!</v>
      </c>
      <c r="B57" s="60" t="e">
        <f>IF(#REF!&gt;0,#REF!,0)</f>
        <v>#REF!</v>
      </c>
      <c r="C57" s="60"/>
      <c r="D57" s="60" t="e">
        <f>IF(#REF!&gt;0,#REF!,0)</f>
        <v>#REF!</v>
      </c>
      <c r="E57" s="60" t="e">
        <f>IF(#REF!&gt;0,#REF!,0)</f>
        <v>#REF!</v>
      </c>
      <c r="F57" s="60" t="e">
        <f>IF(#REF!&gt;0,#REF!,0)</f>
        <v>#REF!</v>
      </c>
      <c r="G57" s="60" t="e">
        <f>IF(#REF!&gt;0,#REF!,0)</f>
        <v>#REF!</v>
      </c>
      <c r="H57" s="60"/>
      <c r="I57" s="60" t="e">
        <f>IF(#REF!&gt;0,#REF!,0)</f>
        <v>#REF!</v>
      </c>
      <c r="J57" s="60"/>
      <c r="K57" s="60" t="e">
        <f>IF(#REF!&gt;0,#REF!,0)</f>
        <v>#REF!</v>
      </c>
      <c r="L57" s="60"/>
      <c r="M57" s="60" t="e">
        <f>IF(#REF!&gt;0,#REF!,0)</f>
        <v>#REF!</v>
      </c>
      <c r="N57" s="60">
        <v>0</v>
      </c>
      <c r="O57" s="60">
        <v>0</v>
      </c>
      <c r="P57" s="60">
        <v>0</v>
      </c>
      <c r="Q57" s="60">
        <v>0</v>
      </c>
      <c r="R57" s="61">
        <v>0</v>
      </c>
      <c r="S57" s="61">
        <v>0</v>
      </c>
      <c r="T57" s="61">
        <v>0</v>
      </c>
      <c r="U57" s="60">
        <v>0</v>
      </c>
      <c r="V57" s="62">
        <v>0</v>
      </c>
      <c r="W57" s="163" t="e">
        <f t="shared" si="2"/>
        <v>#REF!</v>
      </c>
    </row>
    <row r="58" spans="1:23" ht="12.6" x14ac:dyDescent="0.2">
      <c r="A58" s="50" t="e">
        <f t="shared" si="3"/>
        <v>#REF!</v>
      </c>
      <c r="B58" s="60" t="e">
        <f>IF(#REF!&gt;0,#REF!,0)</f>
        <v>#REF!</v>
      </c>
      <c r="C58" s="60"/>
      <c r="D58" s="60" t="e">
        <f>IF(#REF!&gt;0,#REF!,0)</f>
        <v>#REF!</v>
      </c>
      <c r="E58" s="60" t="e">
        <f>IF(#REF!&gt;0,#REF!,0)</f>
        <v>#REF!</v>
      </c>
      <c r="F58" s="60" t="e">
        <f>IF(#REF!&gt;0,#REF!,0)</f>
        <v>#REF!</v>
      </c>
      <c r="G58" s="60" t="e">
        <f>IF(#REF!&gt;0,#REF!,0)</f>
        <v>#REF!</v>
      </c>
      <c r="H58" s="60"/>
      <c r="I58" s="60" t="e">
        <f>IF(#REF!&gt;0,#REF!,0)</f>
        <v>#REF!</v>
      </c>
      <c r="J58" s="60"/>
      <c r="K58" s="60" t="e">
        <f>IF(#REF!&gt;0,#REF!,0)</f>
        <v>#REF!</v>
      </c>
      <c r="L58" s="60"/>
      <c r="M58" s="60" t="e">
        <f>IF(#REF!&gt;0,#REF!,0)</f>
        <v>#REF!</v>
      </c>
      <c r="N58" s="60">
        <v>0</v>
      </c>
      <c r="O58" s="60">
        <v>0</v>
      </c>
      <c r="P58" s="60">
        <v>0</v>
      </c>
      <c r="Q58" s="60">
        <v>0</v>
      </c>
      <c r="R58" s="61">
        <v>0</v>
      </c>
      <c r="S58" s="61">
        <v>0</v>
      </c>
      <c r="T58" s="61">
        <v>0</v>
      </c>
      <c r="U58" s="60">
        <v>0</v>
      </c>
      <c r="V58" s="62">
        <v>0</v>
      </c>
      <c r="W58" s="163" t="e">
        <f t="shared" si="2"/>
        <v>#REF!</v>
      </c>
    </row>
    <row r="59" spans="1:23" ht="12.6" x14ac:dyDescent="0.2">
      <c r="A59" s="50" t="e">
        <f t="shared" si="3"/>
        <v>#REF!</v>
      </c>
      <c r="B59" s="60" t="e">
        <f>IF(#REF!&gt;0,#REF!,0)</f>
        <v>#REF!</v>
      </c>
      <c r="C59" s="60"/>
      <c r="D59" s="60" t="e">
        <f>IF(#REF!&gt;0,#REF!,0)</f>
        <v>#REF!</v>
      </c>
      <c r="E59" s="60" t="e">
        <f>IF(#REF!&gt;0,#REF!,0)</f>
        <v>#REF!</v>
      </c>
      <c r="F59" s="60" t="e">
        <f>IF(#REF!&gt;0,#REF!,0)</f>
        <v>#REF!</v>
      </c>
      <c r="G59" s="60" t="e">
        <f>IF(#REF!&gt;0,#REF!,0)</f>
        <v>#REF!</v>
      </c>
      <c r="H59" s="60"/>
      <c r="I59" s="60" t="e">
        <f>IF(#REF!&gt;0,#REF!,0)</f>
        <v>#REF!</v>
      </c>
      <c r="J59" s="60"/>
      <c r="K59" s="60" t="e">
        <f>IF(#REF!&gt;0,#REF!,0)</f>
        <v>#REF!</v>
      </c>
      <c r="L59" s="60"/>
      <c r="M59" s="60" t="e">
        <f>IF(#REF!&gt;0,#REF!,0)</f>
        <v>#REF!</v>
      </c>
      <c r="N59" s="60">
        <v>0</v>
      </c>
      <c r="O59" s="60">
        <v>0</v>
      </c>
      <c r="P59" s="60">
        <v>0</v>
      </c>
      <c r="Q59" s="60">
        <v>0</v>
      </c>
      <c r="R59" s="61">
        <v>0</v>
      </c>
      <c r="S59" s="61">
        <v>0</v>
      </c>
      <c r="T59" s="61">
        <v>0</v>
      </c>
      <c r="U59" s="60">
        <v>0</v>
      </c>
      <c r="V59" s="62">
        <v>0</v>
      </c>
      <c r="W59" s="163" t="e">
        <f t="shared" si="2"/>
        <v>#REF!</v>
      </c>
    </row>
    <row r="60" spans="1:23" ht="12.6" x14ac:dyDescent="0.2">
      <c r="A60" s="50" t="e">
        <f t="shared" si="3"/>
        <v>#REF!</v>
      </c>
      <c r="B60" s="60" t="e">
        <f>IF(#REF!&gt;0,#REF!,0)</f>
        <v>#REF!</v>
      </c>
      <c r="C60" s="60"/>
      <c r="D60" s="60" t="e">
        <f>IF(#REF!&gt;0,#REF!,0)</f>
        <v>#REF!</v>
      </c>
      <c r="E60" s="60" t="e">
        <f>IF(#REF!&gt;0,#REF!,0)</f>
        <v>#REF!</v>
      </c>
      <c r="F60" s="60" t="e">
        <f>IF(#REF!&gt;0,#REF!,0)</f>
        <v>#REF!</v>
      </c>
      <c r="G60" s="60" t="e">
        <f>IF(#REF!&gt;0,#REF!,0)</f>
        <v>#REF!</v>
      </c>
      <c r="H60" s="60"/>
      <c r="I60" s="60" t="e">
        <f>IF(#REF!&gt;0,#REF!,0)</f>
        <v>#REF!</v>
      </c>
      <c r="J60" s="60"/>
      <c r="K60" s="60" t="e">
        <f>IF(#REF!&gt;0,#REF!,0)</f>
        <v>#REF!</v>
      </c>
      <c r="L60" s="60"/>
      <c r="M60" s="60" t="e">
        <f>IF(#REF!&gt;0,#REF!,0)</f>
        <v>#REF!</v>
      </c>
      <c r="N60" s="60">
        <v>0</v>
      </c>
      <c r="O60" s="60">
        <v>0</v>
      </c>
      <c r="P60" s="60">
        <v>0</v>
      </c>
      <c r="Q60" s="60">
        <v>0</v>
      </c>
      <c r="R60" s="61">
        <v>0</v>
      </c>
      <c r="S60" s="61">
        <v>0</v>
      </c>
      <c r="T60" s="61">
        <v>0</v>
      </c>
      <c r="U60" s="60">
        <v>0</v>
      </c>
      <c r="V60" s="62">
        <v>0</v>
      </c>
      <c r="W60" s="163" t="e">
        <f t="shared" si="2"/>
        <v>#REF!</v>
      </c>
    </row>
    <row r="61" spans="1:23" ht="12.6" x14ac:dyDescent="0.2">
      <c r="A61" s="50" t="e">
        <f t="shared" si="3"/>
        <v>#REF!</v>
      </c>
      <c r="B61" s="60" t="e">
        <f>IF(#REF!&gt;0,#REF!,0)</f>
        <v>#REF!</v>
      </c>
      <c r="C61" s="60"/>
      <c r="D61" s="60" t="e">
        <f>IF(#REF!&gt;0,#REF!,0)</f>
        <v>#REF!</v>
      </c>
      <c r="E61" s="60" t="e">
        <f>IF(#REF!&gt;0,#REF!,0)</f>
        <v>#REF!</v>
      </c>
      <c r="F61" s="60" t="e">
        <f>IF(#REF!&gt;0,#REF!,0)</f>
        <v>#REF!</v>
      </c>
      <c r="G61" s="60" t="e">
        <f>IF(#REF!&gt;0,#REF!,0)</f>
        <v>#REF!</v>
      </c>
      <c r="H61" s="60"/>
      <c r="I61" s="60" t="e">
        <f>IF(#REF!&gt;0,#REF!,0)</f>
        <v>#REF!</v>
      </c>
      <c r="J61" s="60"/>
      <c r="K61" s="60" t="e">
        <f>IF(#REF!&gt;0,#REF!,0)</f>
        <v>#REF!</v>
      </c>
      <c r="L61" s="60"/>
      <c r="M61" s="60" t="e">
        <f>IF(#REF!&gt;0,#REF!,0)</f>
        <v>#REF!</v>
      </c>
      <c r="N61" s="60">
        <v>0</v>
      </c>
      <c r="O61" s="60">
        <v>0</v>
      </c>
      <c r="P61" s="60">
        <v>0</v>
      </c>
      <c r="Q61" s="60">
        <v>0</v>
      </c>
      <c r="R61" s="61">
        <v>0</v>
      </c>
      <c r="S61" s="61">
        <v>0</v>
      </c>
      <c r="T61" s="61">
        <v>0</v>
      </c>
      <c r="U61" s="60">
        <v>0</v>
      </c>
      <c r="V61" s="62">
        <v>0</v>
      </c>
      <c r="W61" s="163" t="e">
        <f t="shared" si="2"/>
        <v>#REF!</v>
      </c>
    </row>
    <row r="62" spans="1:23" ht="12.6" x14ac:dyDescent="0.2">
      <c r="A62" s="50" t="e">
        <f t="shared" si="3"/>
        <v>#REF!</v>
      </c>
      <c r="B62" s="60" t="e">
        <f>IF(#REF!&gt;0,#REF!,0)</f>
        <v>#REF!</v>
      </c>
      <c r="C62" s="60"/>
      <c r="D62" s="60" t="e">
        <f>IF(#REF!&gt;0,#REF!,0)</f>
        <v>#REF!</v>
      </c>
      <c r="E62" s="60" t="e">
        <f>IF(#REF!&gt;0,#REF!,0)</f>
        <v>#REF!</v>
      </c>
      <c r="F62" s="60" t="e">
        <f>IF(#REF!&gt;0,#REF!,0)</f>
        <v>#REF!</v>
      </c>
      <c r="G62" s="60" t="e">
        <f>IF(#REF!&gt;0,#REF!,0)</f>
        <v>#REF!</v>
      </c>
      <c r="H62" s="60"/>
      <c r="I62" s="60" t="e">
        <f>IF(#REF!&gt;0,#REF!,0)</f>
        <v>#REF!</v>
      </c>
      <c r="J62" s="60"/>
      <c r="K62" s="60" t="e">
        <f>IF(#REF!&gt;0,#REF!,0)</f>
        <v>#REF!</v>
      </c>
      <c r="L62" s="60"/>
      <c r="M62" s="60" t="e">
        <f>IF(#REF!&gt;0,#REF!,0)</f>
        <v>#REF!</v>
      </c>
      <c r="N62" s="60">
        <v>0</v>
      </c>
      <c r="O62" s="60">
        <v>0</v>
      </c>
      <c r="P62" s="60">
        <v>0</v>
      </c>
      <c r="Q62" s="60">
        <v>0</v>
      </c>
      <c r="R62" s="61">
        <v>0</v>
      </c>
      <c r="S62" s="61">
        <v>0</v>
      </c>
      <c r="T62" s="61">
        <v>0</v>
      </c>
      <c r="U62" s="60">
        <v>0</v>
      </c>
      <c r="V62" s="62">
        <v>0</v>
      </c>
      <c r="W62" s="163" t="e">
        <f t="shared" si="2"/>
        <v>#REF!</v>
      </c>
    </row>
    <row r="63" spans="1:23" ht="12.6" x14ac:dyDescent="0.2">
      <c r="A63" s="50" t="e">
        <f t="shared" si="3"/>
        <v>#REF!</v>
      </c>
      <c r="B63" s="60" t="e">
        <f>IF(#REF!&gt;0,#REF!,0)</f>
        <v>#REF!</v>
      </c>
      <c r="C63" s="60"/>
      <c r="D63" s="60" t="e">
        <f>IF(#REF!&gt;0,#REF!,0)</f>
        <v>#REF!</v>
      </c>
      <c r="E63" s="60" t="e">
        <f>IF(#REF!&gt;0,#REF!,0)</f>
        <v>#REF!</v>
      </c>
      <c r="F63" s="60" t="e">
        <f>IF(#REF!&gt;0,#REF!,0)</f>
        <v>#REF!</v>
      </c>
      <c r="G63" s="60" t="e">
        <f>IF(#REF!&gt;0,#REF!,0)</f>
        <v>#REF!</v>
      </c>
      <c r="H63" s="60"/>
      <c r="I63" s="60" t="e">
        <f>IF(#REF!&gt;0,#REF!,0)</f>
        <v>#REF!</v>
      </c>
      <c r="J63" s="60"/>
      <c r="K63" s="60" t="e">
        <f>IF(#REF!&gt;0,#REF!,0)</f>
        <v>#REF!</v>
      </c>
      <c r="L63" s="60"/>
      <c r="M63" s="60" t="e">
        <f>IF(#REF!&gt;0,#REF!,0)</f>
        <v>#REF!</v>
      </c>
      <c r="N63" s="60">
        <v>0</v>
      </c>
      <c r="O63" s="60">
        <v>0</v>
      </c>
      <c r="P63" s="60">
        <v>0</v>
      </c>
      <c r="Q63" s="60">
        <v>0</v>
      </c>
      <c r="R63" s="61">
        <v>0</v>
      </c>
      <c r="S63" s="61">
        <v>0</v>
      </c>
      <c r="T63" s="61">
        <v>0</v>
      </c>
      <c r="U63" s="60">
        <v>0</v>
      </c>
      <c r="V63" s="62">
        <v>0</v>
      </c>
      <c r="W63" s="163" t="e">
        <f t="shared" si="2"/>
        <v>#REF!</v>
      </c>
    </row>
    <row r="64" spans="1:23" ht="12.6" x14ac:dyDescent="0.2">
      <c r="A64" s="50" t="e">
        <f t="shared" si="3"/>
        <v>#REF!</v>
      </c>
      <c r="B64" s="60" t="e">
        <f>IF(#REF!&gt;0,#REF!,0)</f>
        <v>#REF!</v>
      </c>
      <c r="C64" s="60"/>
      <c r="D64" s="60" t="e">
        <f>IF(#REF!&gt;0,#REF!,0)</f>
        <v>#REF!</v>
      </c>
      <c r="E64" s="60" t="e">
        <f>IF(#REF!&gt;0,#REF!,0)</f>
        <v>#REF!</v>
      </c>
      <c r="F64" s="60" t="e">
        <f>IF(#REF!&gt;0,#REF!,0)</f>
        <v>#REF!</v>
      </c>
      <c r="G64" s="60" t="e">
        <f>IF(#REF!&gt;0,#REF!,0)</f>
        <v>#REF!</v>
      </c>
      <c r="H64" s="60"/>
      <c r="I64" s="60" t="e">
        <f>IF(#REF!&gt;0,#REF!,0)</f>
        <v>#REF!</v>
      </c>
      <c r="J64" s="60"/>
      <c r="K64" s="60" t="e">
        <f>IF(#REF!&gt;0,#REF!,0)</f>
        <v>#REF!</v>
      </c>
      <c r="L64" s="60"/>
      <c r="M64" s="60" t="e">
        <f>IF(#REF!&gt;0,#REF!,0)</f>
        <v>#REF!</v>
      </c>
      <c r="N64" s="60">
        <v>0</v>
      </c>
      <c r="O64" s="60">
        <v>0</v>
      </c>
      <c r="P64" s="60">
        <v>0</v>
      </c>
      <c r="Q64" s="60">
        <v>0</v>
      </c>
      <c r="R64" s="61">
        <v>0</v>
      </c>
      <c r="S64" s="61">
        <v>0</v>
      </c>
      <c r="T64" s="61">
        <v>0</v>
      </c>
      <c r="U64" s="60">
        <v>0</v>
      </c>
      <c r="V64" s="62">
        <v>0</v>
      </c>
      <c r="W64" s="163" t="e">
        <f t="shared" si="2"/>
        <v>#REF!</v>
      </c>
    </row>
    <row r="65" spans="1:24" ht="12.6" x14ac:dyDescent="0.2">
      <c r="A65" s="50" t="e">
        <f t="shared" si="3"/>
        <v>#REF!</v>
      </c>
      <c r="B65" s="60" t="e">
        <f>IF(#REF!&gt;0,#REF!,0)</f>
        <v>#REF!</v>
      </c>
      <c r="C65" s="60"/>
      <c r="D65" s="60" t="e">
        <f>IF(#REF!&gt;0,#REF!,0)</f>
        <v>#REF!</v>
      </c>
      <c r="E65" s="60" t="e">
        <f>IF(#REF!&gt;0,#REF!,0)</f>
        <v>#REF!</v>
      </c>
      <c r="F65" s="60" t="e">
        <f>IF(#REF!&gt;0,#REF!,0)</f>
        <v>#REF!</v>
      </c>
      <c r="G65" s="60" t="e">
        <f>IF(#REF!&gt;0,#REF!,0)</f>
        <v>#REF!</v>
      </c>
      <c r="H65" s="60"/>
      <c r="I65" s="60" t="e">
        <f>IF(#REF!&gt;0,#REF!,0)</f>
        <v>#REF!</v>
      </c>
      <c r="J65" s="60"/>
      <c r="K65" s="60" t="e">
        <f>IF(#REF!&gt;0,#REF!,0)</f>
        <v>#REF!</v>
      </c>
      <c r="L65" s="60"/>
      <c r="M65" s="60" t="e">
        <f>IF(#REF!&gt;0,#REF!,0)</f>
        <v>#REF!</v>
      </c>
      <c r="N65" s="60">
        <v>0</v>
      </c>
      <c r="O65" s="60">
        <v>0</v>
      </c>
      <c r="P65" s="60">
        <v>0</v>
      </c>
      <c r="Q65" s="60">
        <v>0</v>
      </c>
      <c r="R65" s="61">
        <v>0</v>
      </c>
      <c r="S65" s="61">
        <v>0</v>
      </c>
      <c r="T65" s="61">
        <v>0</v>
      </c>
      <c r="U65" s="60">
        <v>0</v>
      </c>
      <c r="V65" s="62">
        <v>0</v>
      </c>
      <c r="W65" s="163" t="e">
        <f t="shared" si="2"/>
        <v>#REF!</v>
      </c>
    </row>
    <row r="66" spans="1:24" ht="12.6" x14ac:dyDescent="0.2">
      <c r="A66" s="50" t="e">
        <f t="shared" si="3"/>
        <v>#REF!</v>
      </c>
      <c r="B66" s="60" t="e">
        <f>IF(#REF!&gt;0,#REF!,0)</f>
        <v>#REF!</v>
      </c>
      <c r="C66" s="60"/>
      <c r="D66" s="60" t="e">
        <f>IF(#REF!&gt;0,#REF!,0)</f>
        <v>#REF!</v>
      </c>
      <c r="E66" s="60" t="e">
        <f>IF(#REF!&gt;0,#REF!,0)</f>
        <v>#REF!</v>
      </c>
      <c r="F66" s="60" t="e">
        <f>IF(#REF!&gt;0,#REF!,0)</f>
        <v>#REF!</v>
      </c>
      <c r="G66" s="60" t="e">
        <f>IF(#REF!&gt;0,#REF!,0)</f>
        <v>#REF!</v>
      </c>
      <c r="H66" s="60"/>
      <c r="I66" s="60" t="e">
        <f>IF(#REF!&gt;0,#REF!,0)</f>
        <v>#REF!</v>
      </c>
      <c r="J66" s="60"/>
      <c r="K66" s="60" t="e">
        <f>IF(#REF!&gt;0,#REF!,0)</f>
        <v>#REF!</v>
      </c>
      <c r="L66" s="60"/>
      <c r="M66" s="60" t="e">
        <f>IF(#REF!&gt;0,#REF!,0)</f>
        <v>#REF!</v>
      </c>
      <c r="N66" s="60">
        <v>0</v>
      </c>
      <c r="O66" s="60">
        <v>0</v>
      </c>
      <c r="P66" s="60">
        <v>0</v>
      </c>
      <c r="Q66" s="60">
        <v>0</v>
      </c>
      <c r="R66" s="61">
        <v>0</v>
      </c>
      <c r="S66" s="61">
        <v>0</v>
      </c>
      <c r="T66" s="61">
        <v>0</v>
      </c>
      <c r="U66" s="60">
        <v>0</v>
      </c>
      <c r="V66" s="62">
        <v>0</v>
      </c>
      <c r="W66" s="163" t="e">
        <f t="shared" si="2"/>
        <v>#REF!</v>
      </c>
    </row>
    <row r="67" spans="1:24" ht="12.6" x14ac:dyDescent="0.2">
      <c r="A67" s="50" t="e">
        <f t="shared" si="3"/>
        <v>#REF!</v>
      </c>
      <c r="B67" s="60" t="e">
        <f>IF(#REF!&gt;0,#REF!,0)</f>
        <v>#REF!</v>
      </c>
      <c r="C67" s="60"/>
      <c r="D67" s="60" t="e">
        <f>IF(#REF!&gt;0,#REF!,0)</f>
        <v>#REF!</v>
      </c>
      <c r="E67" s="60" t="e">
        <f>IF(#REF!&gt;0,#REF!,0)</f>
        <v>#REF!</v>
      </c>
      <c r="F67" s="60" t="e">
        <f>IF(#REF!&gt;0,#REF!,0)</f>
        <v>#REF!</v>
      </c>
      <c r="G67" s="60" t="e">
        <f>IF(#REF!&gt;0,#REF!,0)</f>
        <v>#REF!</v>
      </c>
      <c r="H67" s="60"/>
      <c r="I67" s="60" t="e">
        <f>IF(#REF!&gt;0,#REF!,0)</f>
        <v>#REF!</v>
      </c>
      <c r="J67" s="60"/>
      <c r="K67" s="60" t="e">
        <f>IF(#REF!&gt;0,#REF!,0)</f>
        <v>#REF!</v>
      </c>
      <c r="L67" s="60"/>
      <c r="M67" s="60" t="e">
        <f>IF(#REF!&gt;0,#REF!,0)</f>
        <v>#REF!</v>
      </c>
      <c r="N67" s="60">
        <v>0</v>
      </c>
      <c r="O67" s="60">
        <v>0</v>
      </c>
      <c r="P67" s="60">
        <v>0</v>
      </c>
      <c r="Q67" s="60">
        <v>0</v>
      </c>
      <c r="R67" s="61">
        <v>0</v>
      </c>
      <c r="S67" s="61">
        <v>0</v>
      </c>
      <c r="T67" s="61">
        <v>0</v>
      </c>
      <c r="U67" s="60">
        <v>0</v>
      </c>
      <c r="V67" s="62" t="e">
        <f>#REF!</f>
        <v>#REF!</v>
      </c>
      <c r="W67" s="163" t="e">
        <f t="shared" si="2"/>
        <v>#REF!</v>
      </c>
    </row>
    <row r="68" spans="1:24" ht="12.6" x14ac:dyDescent="0.2">
      <c r="A68" s="5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1"/>
      <c r="S68" s="61"/>
      <c r="T68" s="61"/>
      <c r="U68" s="60"/>
      <c r="V68" s="62"/>
      <c r="W68" s="163"/>
    </row>
    <row r="69" spans="1:24" ht="6" customHeight="1" x14ac:dyDescent="0.2">
      <c r="A69" s="168"/>
      <c r="B69" s="169"/>
      <c r="C69" s="169"/>
      <c r="D69" s="169"/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70"/>
      <c r="S69" s="170"/>
      <c r="T69" s="170"/>
      <c r="U69" s="169"/>
      <c r="V69" s="171"/>
      <c r="W69" s="172"/>
    </row>
    <row r="70" spans="1:24" ht="12.6" x14ac:dyDescent="0.2">
      <c r="A70" s="164" t="s">
        <v>59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1"/>
      <c r="S70" s="61"/>
      <c r="T70" s="61"/>
      <c r="U70" s="60"/>
      <c r="V70" s="62"/>
      <c r="W70" s="163"/>
    </row>
    <row r="71" spans="1:24" ht="12.6" x14ac:dyDescent="0.2">
      <c r="A71" s="65" t="e">
        <f>#REF!</f>
        <v>#REF!</v>
      </c>
      <c r="B71" s="60">
        <v>0</v>
      </c>
      <c r="C71" s="60"/>
      <c r="D71" s="60">
        <v>0</v>
      </c>
      <c r="E71" s="60">
        <v>0</v>
      </c>
      <c r="F71" s="60">
        <v>0</v>
      </c>
      <c r="G71" s="60">
        <v>0</v>
      </c>
      <c r="H71" s="60"/>
      <c r="I71" s="60">
        <v>0</v>
      </c>
      <c r="J71" s="60"/>
      <c r="K71" s="60">
        <v>0</v>
      </c>
      <c r="L71" s="60"/>
      <c r="M71" s="60">
        <v>0</v>
      </c>
      <c r="N71" s="60" t="e">
        <f>#REF!</f>
        <v>#REF!</v>
      </c>
      <c r="O71" s="60" t="e">
        <f>#REF!</f>
        <v>#REF!</v>
      </c>
      <c r="P71" s="60" t="e">
        <f>#REF!</f>
        <v>#REF!</v>
      </c>
      <c r="Q71" s="60" t="e">
        <f>#REF!</f>
        <v>#REF!</v>
      </c>
      <c r="R71" s="61" t="e">
        <f>#REF!</f>
        <v>#REF!</v>
      </c>
      <c r="S71" s="61" t="e">
        <f>#REF!</f>
        <v>#REF!</v>
      </c>
      <c r="T71" s="61" t="e">
        <f>#REF!</f>
        <v>#REF!</v>
      </c>
      <c r="U71" s="60" t="e">
        <f>#REF!</f>
        <v>#REF!</v>
      </c>
      <c r="V71" s="62" t="e">
        <f>#REF!</f>
        <v>#REF!</v>
      </c>
      <c r="W71" s="163" t="e">
        <f t="shared" ref="W71:W76" si="4">SUM(B71:V71)</f>
        <v>#REF!</v>
      </c>
      <c r="X71" s="66"/>
    </row>
    <row r="72" spans="1:24" ht="12.6" x14ac:dyDescent="0.2">
      <c r="A72" s="65" t="e">
        <f>#REF!</f>
        <v>#REF!</v>
      </c>
      <c r="B72" s="60">
        <v>0</v>
      </c>
      <c r="C72" s="60"/>
      <c r="D72" s="60">
        <v>0</v>
      </c>
      <c r="E72" s="60">
        <v>0</v>
      </c>
      <c r="F72" s="60">
        <v>0</v>
      </c>
      <c r="G72" s="60">
        <v>0</v>
      </c>
      <c r="H72" s="60"/>
      <c r="I72" s="60">
        <v>0</v>
      </c>
      <c r="J72" s="60"/>
      <c r="K72" s="60">
        <v>0</v>
      </c>
      <c r="L72" s="60"/>
      <c r="M72" s="60">
        <v>0</v>
      </c>
      <c r="N72" s="60" t="e">
        <f>#REF!</f>
        <v>#REF!</v>
      </c>
      <c r="O72" s="60" t="e">
        <f>#REF!</f>
        <v>#REF!</v>
      </c>
      <c r="P72" s="60" t="e">
        <f>#REF!</f>
        <v>#REF!</v>
      </c>
      <c r="Q72" s="60" t="e">
        <f>#REF!</f>
        <v>#REF!</v>
      </c>
      <c r="R72" s="61" t="e">
        <f>#REF!</f>
        <v>#REF!</v>
      </c>
      <c r="S72" s="61" t="e">
        <f>#REF!</f>
        <v>#REF!</v>
      </c>
      <c r="T72" s="61" t="e">
        <f>#REF!</f>
        <v>#REF!</v>
      </c>
      <c r="U72" s="60" t="e">
        <f>#REF!</f>
        <v>#REF!</v>
      </c>
      <c r="V72" s="62" t="e">
        <f>#REF!</f>
        <v>#REF!</v>
      </c>
      <c r="W72" s="163" t="e">
        <f t="shared" si="4"/>
        <v>#REF!</v>
      </c>
      <c r="X72" s="66"/>
    </row>
    <row r="73" spans="1:24" ht="12.6" x14ac:dyDescent="0.2">
      <c r="A73" s="65" t="e">
        <f>#REF!</f>
        <v>#REF!</v>
      </c>
      <c r="B73" s="60">
        <v>0</v>
      </c>
      <c r="C73" s="60"/>
      <c r="D73" s="60">
        <v>0</v>
      </c>
      <c r="E73" s="60">
        <v>0</v>
      </c>
      <c r="F73" s="60">
        <v>0</v>
      </c>
      <c r="G73" s="60">
        <v>0</v>
      </c>
      <c r="H73" s="60"/>
      <c r="I73" s="60">
        <v>0</v>
      </c>
      <c r="J73" s="60"/>
      <c r="K73" s="60">
        <v>0</v>
      </c>
      <c r="L73" s="60"/>
      <c r="M73" s="60">
        <v>0</v>
      </c>
      <c r="N73" s="60" t="e">
        <f>#REF!</f>
        <v>#REF!</v>
      </c>
      <c r="O73" s="60" t="e">
        <f>#REF!</f>
        <v>#REF!</v>
      </c>
      <c r="P73" s="60" t="e">
        <f>#REF!</f>
        <v>#REF!</v>
      </c>
      <c r="Q73" s="60" t="e">
        <f>#REF!</f>
        <v>#REF!</v>
      </c>
      <c r="R73" s="61" t="e">
        <f>#REF!</f>
        <v>#REF!</v>
      </c>
      <c r="S73" s="61" t="e">
        <f>#REF!</f>
        <v>#REF!</v>
      </c>
      <c r="T73" s="61" t="e">
        <f>#REF!</f>
        <v>#REF!</v>
      </c>
      <c r="U73" s="60" t="e">
        <f>#REF!</f>
        <v>#REF!</v>
      </c>
      <c r="V73" s="62" t="e">
        <f>#REF!</f>
        <v>#REF!</v>
      </c>
      <c r="W73" s="163" t="e">
        <f t="shared" si="4"/>
        <v>#REF!</v>
      </c>
      <c r="X73" s="66"/>
    </row>
    <row r="74" spans="1:24" ht="12.6" x14ac:dyDescent="0.2">
      <c r="A74" s="65" t="e">
        <f>#REF!</f>
        <v>#REF!</v>
      </c>
      <c r="B74" s="60">
        <v>0</v>
      </c>
      <c r="C74" s="60"/>
      <c r="D74" s="60">
        <v>0</v>
      </c>
      <c r="E74" s="60">
        <v>0</v>
      </c>
      <c r="F74" s="60">
        <v>0</v>
      </c>
      <c r="G74" s="60">
        <v>0</v>
      </c>
      <c r="H74" s="60"/>
      <c r="I74" s="60">
        <v>0</v>
      </c>
      <c r="J74" s="60"/>
      <c r="K74" s="60">
        <v>0</v>
      </c>
      <c r="L74" s="60"/>
      <c r="M74" s="60">
        <v>0</v>
      </c>
      <c r="N74" s="60" t="e">
        <f>#REF!</f>
        <v>#REF!</v>
      </c>
      <c r="O74" s="60" t="e">
        <f>#REF!</f>
        <v>#REF!</v>
      </c>
      <c r="P74" s="60" t="e">
        <f>#REF!</f>
        <v>#REF!</v>
      </c>
      <c r="Q74" s="60" t="e">
        <f>#REF!</f>
        <v>#REF!</v>
      </c>
      <c r="R74" s="61" t="e">
        <f>#REF!</f>
        <v>#REF!</v>
      </c>
      <c r="S74" s="61" t="e">
        <f>#REF!</f>
        <v>#REF!</v>
      </c>
      <c r="T74" s="61" t="e">
        <f>#REF!</f>
        <v>#REF!</v>
      </c>
      <c r="U74" s="60" t="e">
        <f>#REF!</f>
        <v>#REF!</v>
      </c>
      <c r="V74" s="62" t="e">
        <f>#REF!</f>
        <v>#REF!</v>
      </c>
      <c r="W74" s="163" t="e">
        <f t="shared" si="4"/>
        <v>#REF!</v>
      </c>
      <c r="X74" s="66"/>
    </row>
    <row r="75" spans="1:24" ht="12.6" x14ac:dyDescent="0.2">
      <c r="A75" s="65" t="e">
        <f>#REF!</f>
        <v>#REF!</v>
      </c>
      <c r="B75" s="60">
        <v>0</v>
      </c>
      <c r="C75" s="60"/>
      <c r="D75" s="60">
        <v>0</v>
      </c>
      <c r="E75" s="60">
        <v>0</v>
      </c>
      <c r="F75" s="60">
        <v>0</v>
      </c>
      <c r="G75" s="60">
        <v>0</v>
      </c>
      <c r="H75" s="60"/>
      <c r="I75" s="60">
        <v>0</v>
      </c>
      <c r="J75" s="60"/>
      <c r="K75" s="60">
        <v>0</v>
      </c>
      <c r="L75" s="60"/>
      <c r="M75" s="60">
        <v>0</v>
      </c>
      <c r="N75" s="60" t="e">
        <f>#REF!</f>
        <v>#REF!</v>
      </c>
      <c r="O75" s="60" t="e">
        <f>#REF!</f>
        <v>#REF!</v>
      </c>
      <c r="P75" s="60" t="e">
        <f>#REF!</f>
        <v>#REF!</v>
      </c>
      <c r="Q75" s="60" t="e">
        <f>#REF!</f>
        <v>#REF!</v>
      </c>
      <c r="R75" s="61" t="e">
        <f>#REF!</f>
        <v>#REF!</v>
      </c>
      <c r="S75" s="61" t="e">
        <f>#REF!</f>
        <v>#REF!</v>
      </c>
      <c r="T75" s="61" t="e">
        <f>#REF!</f>
        <v>#REF!</v>
      </c>
      <c r="U75" s="60" t="e">
        <f>#REF!</f>
        <v>#REF!</v>
      </c>
      <c r="V75" s="62" t="e">
        <f>#REF!</f>
        <v>#REF!</v>
      </c>
      <c r="W75" s="163" t="e">
        <f t="shared" si="4"/>
        <v>#REF!</v>
      </c>
      <c r="X75" s="66"/>
    </row>
    <row r="76" spans="1:24" ht="12.6" x14ac:dyDescent="0.2">
      <c r="A76" s="65" t="s">
        <v>119</v>
      </c>
      <c r="B76" s="60">
        <v>0</v>
      </c>
      <c r="C76" s="60"/>
      <c r="D76" s="60">
        <v>0</v>
      </c>
      <c r="E76" s="60">
        <v>0</v>
      </c>
      <c r="F76" s="60">
        <v>0</v>
      </c>
      <c r="G76" s="60">
        <v>0</v>
      </c>
      <c r="H76" s="60"/>
      <c r="I76" s="60">
        <v>0</v>
      </c>
      <c r="J76" s="60"/>
      <c r="K76" s="60">
        <v>0</v>
      </c>
      <c r="L76" s="60"/>
      <c r="M76" s="60">
        <v>0</v>
      </c>
      <c r="N76" s="60" t="e">
        <f>#REF!</f>
        <v>#REF!</v>
      </c>
      <c r="O76" s="60" t="e">
        <f>#REF!</f>
        <v>#REF!</v>
      </c>
      <c r="P76" s="60" t="e">
        <f>#REF!</f>
        <v>#REF!</v>
      </c>
      <c r="Q76" s="60" t="e">
        <f>#REF!</f>
        <v>#REF!</v>
      </c>
      <c r="R76" s="61" t="e">
        <f>#REF!</f>
        <v>#REF!</v>
      </c>
      <c r="S76" s="61" t="e">
        <f>#REF!</f>
        <v>#REF!</v>
      </c>
      <c r="T76" s="61" t="e">
        <f>#REF!</f>
        <v>#REF!</v>
      </c>
      <c r="U76" s="60" t="e">
        <f>#REF!</f>
        <v>#REF!</v>
      </c>
      <c r="V76" s="62" t="e">
        <f>#REF!</f>
        <v>#REF!</v>
      </c>
      <c r="W76" s="163" t="e">
        <f t="shared" si="4"/>
        <v>#REF!</v>
      </c>
      <c r="X76" s="66"/>
    </row>
    <row r="77" spans="1:24" ht="12.6" x14ac:dyDescent="0.2">
      <c r="A77" s="65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1"/>
      <c r="S77" s="61"/>
      <c r="T77" s="61"/>
      <c r="U77" s="60"/>
      <c r="V77" s="62"/>
      <c r="W77" s="163"/>
      <c r="X77" s="66"/>
    </row>
    <row r="78" spans="1:24" ht="6" customHeight="1" x14ac:dyDescent="0.2">
      <c r="A78" s="168"/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  <c r="S78" s="170"/>
      <c r="T78" s="170"/>
      <c r="U78" s="169"/>
      <c r="V78" s="171"/>
      <c r="W78" s="172"/>
      <c r="X78" s="66"/>
    </row>
    <row r="79" spans="1:24" ht="12.6" x14ac:dyDescent="0.2">
      <c r="A79" s="165" t="s">
        <v>67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1"/>
      <c r="S79" s="61"/>
      <c r="T79" s="61"/>
      <c r="U79" s="60"/>
      <c r="V79" s="62"/>
      <c r="W79" s="163"/>
      <c r="X79" s="66"/>
    </row>
    <row r="80" spans="1:24" ht="12.6" x14ac:dyDescent="0.2">
      <c r="A80" s="65" t="e">
        <f>#REF!</f>
        <v>#REF!</v>
      </c>
      <c r="B80" s="60">
        <v>0</v>
      </c>
      <c r="C80" s="60"/>
      <c r="D80" s="60">
        <v>0</v>
      </c>
      <c r="E80" s="60">
        <v>0</v>
      </c>
      <c r="F80" s="60">
        <v>0</v>
      </c>
      <c r="G80" s="60">
        <v>0</v>
      </c>
      <c r="H80" s="60"/>
      <c r="I80" s="60">
        <v>0</v>
      </c>
      <c r="J80" s="60"/>
      <c r="K80" s="60">
        <v>0</v>
      </c>
      <c r="L80" s="60"/>
      <c r="M80" s="60">
        <v>0</v>
      </c>
      <c r="N80" s="60" t="e">
        <f>#REF!</f>
        <v>#REF!</v>
      </c>
      <c r="O80" s="60" t="e">
        <f>#REF!</f>
        <v>#REF!</v>
      </c>
      <c r="P80" s="60" t="e">
        <f>#REF!</f>
        <v>#REF!</v>
      </c>
      <c r="Q80" s="60" t="e">
        <f>#REF!</f>
        <v>#REF!</v>
      </c>
      <c r="R80" s="61" t="e">
        <f>#REF!</f>
        <v>#REF!</v>
      </c>
      <c r="S80" s="61" t="e">
        <f>#REF!</f>
        <v>#REF!</v>
      </c>
      <c r="T80" s="61" t="e">
        <f>#REF!</f>
        <v>#REF!</v>
      </c>
      <c r="U80" s="60" t="e">
        <f>#REF!</f>
        <v>#REF!</v>
      </c>
      <c r="V80" s="62">
        <v>0</v>
      </c>
      <c r="W80" s="163" t="e">
        <f>SUM(B80:V80)</f>
        <v>#REF!</v>
      </c>
      <c r="X80" s="66"/>
    </row>
    <row r="81" spans="1:24" ht="12.6" x14ac:dyDescent="0.2">
      <c r="A81" s="65" t="e">
        <f>#REF!</f>
        <v>#REF!</v>
      </c>
      <c r="B81" s="60">
        <v>0</v>
      </c>
      <c r="C81" s="60"/>
      <c r="D81" s="60">
        <v>0</v>
      </c>
      <c r="E81" s="60">
        <v>0</v>
      </c>
      <c r="F81" s="60">
        <v>0</v>
      </c>
      <c r="G81" s="60">
        <v>0</v>
      </c>
      <c r="H81" s="60"/>
      <c r="I81" s="60">
        <v>0</v>
      </c>
      <c r="J81" s="60"/>
      <c r="K81" s="60">
        <v>0</v>
      </c>
      <c r="L81" s="60"/>
      <c r="M81" s="60">
        <v>0</v>
      </c>
      <c r="N81" s="60" t="e">
        <f>#REF!</f>
        <v>#REF!</v>
      </c>
      <c r="O81" s="60" t="e">
        <f>#REF!</f>
        <v>#REF!</v>
      </c>
      <c r="P81" s="60" t="e">
        <f>#REF!</f>
        <v>#REF!</v>
      </c>
      <c r="Q81" s="60" t="e">
        <f>#REF!</f>
        <v>#REF!</v>
      </c>
      <c r="R81" s="61" t="e">
        <f>#REF!</f>
        <v>#REF!</v>
      </c>
      <c r="S81" s="61" t="e">
        <f>#REF!</f>
        <v>#REF!</v>
      </c>
      <c r="T81" s="61" t="e">
        <f>#REF!</f>
        <v>#REF!</v>
      </c>
      <c r="U81" s="60" t="e">
        <f>#REF!</f>
        <v>#REF!</v>
      </c>
      <c r="V81" s="62">
        <v>0</v>
      </c>
      <c r="W81" s="163" t="e">
        <f>SUM(B81:V81)</f>
        <v>#REF!</v>
      </c>
      <c r="X81" s="66"/>
    </row>
    <row r="82" spans="1:24" ht="12.6" x14ac:dyDescent="0.2">
      <c r="A82" s="65" t="e">
        <f>#REF!</f>
        <v>#REF!</v>
      </c>
      <c r="B82" s="60">
        <v>0</v>
      </c>
      <c r="C82" s="60"/>
      <c r="D82" s="60">
        <v>0</v>
      </c>
      <c r="E82" s="60">
        <v>0</v>
      </c>
      <c r="F82" s="60">
        <v>0</v>
      </c>
      <c r="G82" s="60">
        <v>0</v>
      </c>
      <c r="H82" s="60"/>
      <c r="I82" s="60">
        <v>0</v>
      </c>
      <c r="J82" s="60"/>
      <c r="K82" s="60">
        <v>0</v>
      </c>
      <c r="L82" s="60"/>
      <c r="M82" s="60">
        <v>0</v>
      </c>
      <c r="N82" s="60" t="e">
        <f>#REF!</f>
        <v>#REF!</v>
      </c>
      <c r="O82" s="60" t="e">
        <f>#REF!</f>
        <v>#REF!</v>
      </c>
      <c r="P82" s="60" t="e">
        <f>#REF!</f>
        <v>#REF!</v>
      </c>
      <c r="Q82" s="60" t="e">
        <f>#REF!</f>
        <v>#REF!</v>
      </c>
      <c r="R82" s="61" t="e">
        <f>#REF!</f>
        <v>#REF!</v>
      </c>
      <c r="S82" s="61" t="e">
        <f>#REF!</f>
        <v>#REF!</v>
      </c>
      <c r="T82" s="61" t="e">
        <f>#REF!</f>
        <v>#REF!</v>
      </c>
      <c r="U82" s="60" t="e">
        <f>#REF!</f>
        <v>#REF!</v>
      </c>
      <c r="V82" s="62">
        <v>0</v>
      </c>
      <c r="W82" s="163" t="e">
        <f>SUM(B82:V82)</f>
        <v>#REF!</v>
      </c>
      <c r="X82" s="66"/>
    </row>
    <row r="83" spans="1:24" ht="12.6" x14ac:dyDescent="0.2">
      <c r="A83" s="65" t="e">
        <f>#REF!</f>
        <v>#REF!</v>
      </c>
      <c r="B83" s="60">
        <v>0</v>
      </c>
      <c r="C83" s="60"/>
      <c r="D83" s="60">
        <v>0</v>
      </c>
      <c r="E83" s="60">
        <v>0</v>
      </c>
      <c r="F83" s="60">
        <v>0</v>
      </c>
      <c r="G83" s="60">
        <v>0</v>
      </c>
      <c r="H83" s="60"/>
      <c r="I83" s="60">
        <v>0</v>
      </c>
      <c r="J83" s="60"/>
      <c r="K83" s="60">
        <v>0</v>
      </c>
      <c r="L83" s="60"/>
      <c r="M83" s="60">
        <v>0</v>
      </c>
      <c r="N83" s="60" t="e">
        <f>#REF!</f>
        <v>#REF!</v>
      </c>
      <c r="O83" s="60" t="e">
        <f>#REF!</f>
        <v>#REF!</v>
      </c>
      <c r="P83" s="60" t="e">
        <f>#REF!</f>
        <v>#REF!</v>
      </c>
      <c r="Q83" s="60" t="e">
        <f>#REF!</f>
        <v>#REF!</v>
      </c>
      <c r="R83" s="61" t="e">
        <f>#REF!</f>
        <v>#REF!</v>
      </c>
      <c r="S83" s="61" t="e">
        <f>#REF!</f>
        <v>#REF!</v>
      </c>
      <c r="T83" s="61" t="e">
        <f>#REF!</f>
        <v>#REF!</v>
      </c>
      <c r="U83" s="60" t="e">
        <f>#REF!</f>
        <v>#REF!</v>
      </c>
      <c r="V83" s="62">
        <v>0</v>
      </c>
      <c r="W83" s="163" t="e">
        <f>SUM(B83:V83)</f>
        <v>#REF!</v>
      </c>
      <c r="X83" s="66"/>
    </row>
    <row r="84" spans="1:24" ht="12.6" x14ac:dyDescent="0.2">
      <c r="A84" s="65" t="e">
        <f>#REF!</f>
        <v>#REF!</v>
      </c>
      <c r="B84" s="60">
        <v>0</v>
      </c>
      <c r="C84" s="60"/>
      <c r="D84" s="60">
        <v>0</v>
      </c>
      <c r="E84" s="60">
        <v>0</v>
      </c>
      <c r="F84" s="60">
        <v>0</v>
      </c>
      <c r="G84" s="60">
        <v>0</v>
      </c>
      <c r="H84" s="60"/>
      <c r="I84" s="60">
        <v>0</v>
      </c>
      <c r="J84" s="60"/>
      <c r="K84" s="60">
        <v>0</v>
      </c>
      <c r="L84" s="60"/>
      <c r="M84" s="60">
        <v>0</v>
      </c>
      <c r="N84" s="60" t="e">
        <f>#REF!</f>
        <v>#REF!</v>
      </c>
      <c r="O84" s="60" t="e">
        <f>#REF!</f>
        <v>#REF!</v>
      </c>
      <c r="P84" s="60" t="e">
        <f>#REF!</f>
        <v>#REF!</v>
      </c>
      <c r="Q84" s="60" t="e">
        <f>#REF!</f>
        <v>#REF!</v>
      </c>
      <c r="R84" s="61" t="e">
        <f>#REF!</f>
        <v>#REF!</v>
      </c>
      <c r="S84" s="61" t="e">
        <f>#REF!</f>
        <v>#REF!</v>
      </c>
      <c r="T84" s="61" t="e">
        <f>#REF!</f>
        <v>#REF!</v>
      </c>
      <c r="U84" s="60" t="e">
        <f>#REF!</f>
        <v>#REF!</v>
      </c>
      <c r="V84" s="62">
        <v>0</v>
      </c>
      <c r="W84" s="163" t="e">
        <f>SUM(B84:V84)</f>
        <v>#REF!</v>
      </c>
      <c r="X84" s="66"/>
    </row>
    <row r="85" spans="1:24" ht="12.6" x14ac:dyDescent="0.2">
      <c r="A85" s="65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1"/>
      <c r="S85" s="61"/>
      <c r="T85" s="61"/>
      <c r="U85" s="60"/>
      <c r="V85" s="62"/>
      <c r="W85" s="163"/>
      <c r="X85" s="66"/>
    </row>
    <row r="86" spans="1:24" ht="6" customHeight="1" x14ac:dyDescent="0.2">
      <c r="A86" s="168"/>
      <c r="B86" s="169"/>
      <c r="C86" s="169"/>
      <c r="D86" s="169"/>
      <c r="E86" s="169"/>
      <c r="F86" s="169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70"/>
      <c r="S86" s="170"/>
      <c r="T86" s="170"/>
      <c r="U86" s="169"/>
      <c r="V86" s="171"/>
      <c r="W86" s="172"/>
      <c r="X86" s="66"/>
    </row>
    <row r="87" spans="1:24" ht="12.6" x14ac:dyDescent="0.2">
      <c r="A87" s="166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9"/>
      <c r="W87" s="167"/>
      <c r="X87" s="66"/>
    </row>
    <row r="88" spans="1:24" ht="12.6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66"/>
    </row>
    <row r="89" spans="1:24" ht="12.6" x14ac:dyDescent="0.2">
      <c r="A89" s="45" t="s">
        <v>66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</row>
    <row r="90" spans="1:24" ht="12.6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</row>
    <row r="91" spans="1:24" ht="12.6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335" t="e">
        <f>SUM(B8:V84)</f>
        <v>#REF!</v>
      </c>
      <c r="W91" s="335" t="e">
        <f>SUM(W8:W84)</f>
        <v>#REF!</v>
      </c>
    </row>
    <row r="92" spans="1:24" ht="12.6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</row>
    <row r="93" spans="1:24" ht="12.6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</row>
    <row r="94" spans="1:24" ht="12.6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</row>
    <row r="95" spans="1:24" ht="12.6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</row>
    <row r="96" spans="1:24" ht="12.6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</row>
    <row r="97" spans="1:23" ht="12.6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</row>
    <row r="98" spans="1:23" ht="12.6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</row>
    <row r="99" spans="1:23" ht="12.6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</row>
    <row r="100" spans="1:23" ht="12.6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1:23" ht="12.6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1:23" ht="12.6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1:23" ht="12.6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</row>
    <row r="104" spans="1:23" ht="12.6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</row>
    <row r="105" spans="1:23" ht="12.6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</row>
    <row r="106" spans="1:23" ht="12.6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</row>
    <row r="107" spans="1:23" ht="12.6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</row>
    <row r="108" spans="1:23" ht="12.6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</row>
    <row r="109" spans="1:23" ht="12.6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</row>
    <row r="110" spans="1:23" ht="12.6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</row>
    <row r="111" spans="1:23" ht="12.6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</row>
    <row r="112" spans="1:23" ht="12.6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</row>
    <row r="113" spans="1:23" ht="12.6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</row>
    <row r="114" spans="1:23" ht="12.6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</row>
    <row r="115" spans="1:23" ht="12.6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</row>
    <row r="116" spans="1:23" ht="12.6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</row>
    <row r="117" spans="1:23" ht="12.6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</row>
    <row r="118" spans="1:23" ht="12.6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</row>
    <row r="119" spans="1:23" ht="12.6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</row>
    <row r="120" spans="1:23" ht="12.6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</row>
    <row r="121" spans="1:23" ht="12.6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</row>
    <row r="122" spans="1:23" ht="12.6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</row>
    <row r="123" spans="1:23" ht="12.6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</row>
    <row r="124" spans="1:23" ht="12.6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</row>
    <row r="125" spans="1:23" ht="12.6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</row>
    <row r="126" spans="1:23" ht="12.6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</row>
    <row r="127" spans="1:23" ht="12.6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</row>
    <row r="128" spans="1:23" ht="12.6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</row>
    <row r="129" spans="1:23" ht="12.6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</row>
    <row r="130" spans="1:23" ht="12.6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</row>
    <row r="131" spans="1:23" ht="12.6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</row>
    <row r="132" spans="1:23" ht="12.6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</row>
    <row r="133" spans="1:23" ht="12.6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</row>
    <row r="134" spans="1:23" ht="12.6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</row>
    <row r="135" spans="1:23" ht="12.6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</row>
    <row r="136" spans="1:23" ht="12.6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</row>
    <row r="137" spans="1:23" ht="12.6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</row>
    <row r="138" spans="1:23" ht="12.6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</row>
    <row r="139" spans="1:23" ht="12.6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</row>
    <row r="140" spans="1:23" ht="12.6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</row>
    <row r="141" spans="1:23" ht="12.6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</row>
    <row r="142" spans="1:23" ht="12.6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</row>
    <row r="143" spans="1:23" ht="12.6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</row>
    <row r="144" spans="1:23" ht="12.6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</row>
    <row r="145" spans="1:23" ht="12.6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</row>
    <row r="146" spans="1:23" ht="12.6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</row>
    <row r="147" spans="1:23" ht="12.6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</row>
    <row r="148" spans="1:23" ht="12.6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</row>
    <row r="149" spans="1:23" ht="12.6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</row>
    <row r="150" spans="1:23" ht="12.6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</row>
    <row r="151" spans="1:23" ht="12.6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</row>
    <row r="152" spans="1:23" ht="12.6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</row>
    <row r="153" spans="1:23" ht="12.6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</row>
    <row r="154" spans="1:23" ht="12.6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</row>
    <row r="155" spans="1:23" ht="12.6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</row>
    <row r="156" spans="1:23" ht="12.6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</row>
    <row r="157" spans="1:23" ht="12.6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</row>
    <row r="158" spans="1:23" ht="12.6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</row>
    <row r="159" spans="1:23" ht="12.6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</row>
    <row r="160" spans="1:23" ht="12.6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</row>
    <row r="161" spans="1:23" ht="12.6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</row>
    <row r="162" spans="1:23" ht="12.6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</row>
    <row r="163" spans="1:23" ht="12.6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</row>
    <row r="164" spans="1:23" ht="12.75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</row>
    <row r="165" spans="1:23" ht="12.6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</row>
    <row r="166" spans="1:23" ht="12.6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</row>
    <row r="167" spans="1:23" ht="12.6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</row>
    <row r="168" spans="1:23" ht="12.6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</row>
    <row r="169" spans="1:23" ht="12.6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</row>
    <row r="170" spans="1:23" ht="12.6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</row>
    <row r="171" spans="1:23" ht="12.6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</row>
    <row r="172" spans="1:23" ht="12.6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</row>
    <row r="173" spans="1:23" ht="12.6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</row>
    <row r="174" spans="1:23" ht="12.6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</row>
    <row r="175" spans="1:23" ht="12.6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</row>
    <row r="176" spans="1:23" ht="12.6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</row>
    <row r="177" spans="1:23" ht="12.6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</row>
    <row r="178" spans="1:23" ht="12.6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</row>
    <row r="179" spans="1:23" ht="12.6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</row>
    <row r="180" spans="1:23" ht="12.6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</row>
    <row r="181" spans="1:23" ht="12.6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</row>
    <row r="182" spans="1:23" ht="12.6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</row>
    <row r="183" spans="1:23" ht="12.6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</row>
    <row r="184" spans="1:23" ht="12.6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</row>
    <row r="185" spans="1:23" ht="12.6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</row>
    <row r="186" spans="1:23" ht="12.6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</row>
    <row r="187" spans="1:23" ht="12.6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</row>
    <row r="188" spans="1:23" ht="12.6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</row>
    <row r="189" spans="1:23" ht="12.6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</row>
    <row r="190" spans="1:23" ht="12.6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</row>
    <row r="191" spans="1:23" ht="12.6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</row>
    <row r="192" spans="1:23" ht="12.6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</row>
    <row r="193" spans="1:23" ht="12.6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</row>
    <row r="194" spans="1:23" ht="12.6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</row>
    <row r="195" spans="1:23" ht="12.6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</row>
    <row r="196" spans="1:23" ht="12.6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</row>
    <row r="197" spans="1:23" ht="12.6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</row>
    <row r="198" spans="1:23" ht="12.6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</row>
    <row r="199" spans="1:23" ht="12.6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</row>
    <row r="200" spans="1:23" ht="12.6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</row>
    <row r="201" spans="1:23" ht="12.6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</row>
    <row r="202" spans="1:23" ht="12.6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</row>
    <row r="203" spans="1:23" ht="12.6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</row>
    <row r="204" spans="1:23" ht="12.6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</row>
    <row r="205" spans="1:23" ht="12.6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</row>
    <row r="206" spans="1:23" ht="12.6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</row>
    <row r="207" spans="1:23" ht="12.6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</row>
    <row r="208" spans="1:23" ht="12.6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</row>
    <row r="209" spans="1:23" ht="12.6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</row>
    <row r="210" spans="1:23" ht="12.6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</row>
    <row r="211" spans="1:23" ht="12.6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</row>
    <row r="212" spans="1:23" ht="12.6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</row>
    <row r="213" spans="1:23" ht="12.6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</row>
    <row r="214" spans="1:23" ht="12.6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</row>
    <row r="215" spans="1:23" ht="12.6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</row>
    <row r="216" spans="1:23" ht="12.6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</row>
    <row r="217" spans="1:23" ht="12.6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</row>
    <row r="218" spans="1:23" ht="12.6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</row>
    <row r="219" spans="1:23" ht="12.6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</row>
    <row r="220" spans="1:23" ht="12.6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</row>
    <row r="221" spans="1:23" ht="12.6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</row>
    <row r="222" spans="1:23" ht="12.6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</row>
    <row r="223" spans="1:23" ht="12.6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</row>
    <row r="224" spans="1:23" ht="12.6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</row>
    <row r="225" spans="1:23" ht="12.6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</row>
    <row r="226" spans="1:23" ht="12.6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</row>
    <row r="227" spans="1:23" ht="12.6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</row>
    <row r="228" spans="1:23" ht="12.6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</row>
    <row r="229" spans="1:23" ht="12.6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</row>
    <row r="230" spans="1:23" ht="12.6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</row>
    <row r="231" spans="1:23" ht="12.6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</row>
    <row r="232" spans="1:23" ht="12.6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</row>
    <row r="233" spans="1:23" ht="12.6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</row>
    <row r="234" spans="1:23" ht="12.6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</row>
    <row r="235" spans="1:23" ht="12.6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</row>
    <row r="236" spans="1:23" ht="12.6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</row>
    <row r="237" spans="1:23" ht="12.6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</row>
    <row r="238" spans="1:23" ht="12.6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</row>
    <row r="239" spans="1:23" ht="12.6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</row>
    <row r="240" spans="1:23" ht="12.6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</row>
    <row r="241" spans="1:23" ht="12.6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</row>
    <row r="242" spans="1:23" ht="12.6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</row>
    <row r="243" spans="1:23" ht="12.6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</row>
    <row r="244" spans="1:23" ht="12.6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</row>
    <row r="245" spans="1:23" ht="12.6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</row>
    <row r="246" spans="1:23" ht="12.6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</row>
    <row r="247" spans="1:23" ht="12.6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</row>
    <row r="248" spans="1:23" ht="12.6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</row>
    <row r="249" spans="1:23" ht="12.6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</row>
    <row r="250" spans="1:23" ht="12.6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</row>
    <row r="251" spans="1:23" ht="12.6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</row>
    <row r="252" spans="1:23" ht="12.6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</row>
    <row r="253" spans="1:23" ht="12.6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</row>
    <row r="254" spans="1:23" ht="12.6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</row>
    <row r="255" spans="1:23" ht="12.6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</row>
    <row r="256" spans="1:23" ht="12.6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</row>
    <row r="257" spans="1:23" ht="12.6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</row>
    <row r="258" spans="1:23" ht="12.6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</row>
    <row r="259" spans="1:23" ht="12.6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</row>
    <row r="260" spans="1:23" ht="12.6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</row>
    <row r="261" spans="1:23" ht="12.6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</row>
    <row r="262" spans="1:23" ht="12.6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</row>
    <row r="263" spans="1:23" ht="12.6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</row>
    <row r="264" spans="1:23" ht="12.6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</row>
    <row r="265" spans="1:23" ht="12.6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</row>
    <row r="266" spans="1:23" ht="12.6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</row>
    <row r="267" spans="1:23" ht="12.6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</row>
    <row r="268" spans="1:23" ht="12.6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</row>
    <row r="269" spans="1:23" ht="12.6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</row>
    <row r="270" spans="1:23" ht="12.6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</row>
    <row r="271" spans="1:23" ht="12.6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</row>
    <row r="272" spans="1:23" ht="12.6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</row>
    <row r="273" spans="1:23" ht="12.6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</row>
    <row r="274" spans="1:23" ht="12.6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</row>
    <row r="275" spans="1:23" ht="12.6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</row>
    <row r="276" spans="1:23" ht="12.6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</row>
    <row r="277" spans="1:23" ht="12.6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</row>
    <row r="278" spans="1:23" ht="12.6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</row>
    <row r="279" spans="1:23" ht="12.6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</row>
    <row r="280" spans="1:23" ht="12.6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</row>
    <row r="281" spans="1:23" ht="12.6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</row>
    <row r="282" spans="1:23" ht="12.6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</row>
    <row r="283" spans="1:23" ht="12.6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</row>
    <row r="284" spans="1:23" ht="12.6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</row>
    <row r="285" spans="1:23" ht="12.6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</row>
    <row r="286" spans="1:23" ht="12.6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</row>
    <row r="287" spans="1:23" ht="12.6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</row>
    <row r="288" spans="1:23" ht="12.6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</row>
    <row r="289" spans="1:23" ht="12.6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</row>
    <row r="290" spans="1:23" ht="12.6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</row>
    <row r="291" spans="1:23" ht="12.6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</row>
    <row r="292" spans="1:23" ht="12.6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</row>
    <row r="293" spans="1:23" ht="12.6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</row>
    <row r="294" spans="1:23" ht="12.6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</row>
    <row r="295" spans="1:23" ht="12.6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</row>
    <row r="296" spans="1:23" ht="12.6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</row>
    <row r="297" spans="1:23" ht="12.6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</row>
    <row r="298" spans="1:23" ht="12.6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</row>
    <row r="299" spans="1:23" ht="12.6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</row>
    <row r="300" spans="1:23" ht="12.6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</row>
    <row r="301" spans="1:23" ht="12.6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</row>
    <row r="302" spans="1:23" ht="12.6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</row>
    <row r="303" spans="1:23" ht="12.6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</row>
    <row r="304" spans="1:23" ht="12.6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</row>
    <row r="305" spans="1:23" ht="12.6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</row>
    <row r="306" spans="1:23" ht="12.6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</row>
    <row r="307" spans="1:23" ht="12.6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</row>
    <row r="308" spans="1:23" ht="12.6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</row>
    <row r="309" spans="1:23" ht="12.6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</row>
    <row r="310" spans="1:23" ht="12.6" x14ac:dyDescent="0.2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</row>
    <row r="311" spans="1:23" ht="12.6" x14ac:dyDescent="0.2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</row>
    <row r="312" spans="1:23" ht="12.6" x14ac:dyDescent="0.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</row>
    <row r="313" spans="1:23" ht="12.6" x14ac:dyDescent="0.2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</row>
    <row r="314" spans="1:23" ht="12.6" x14ac:dyDescent="0.2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</row>
    <row r="315" spans="1:23" ht="12.6" x14ac:dyDescent="0.2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</row>
    <row r="316" spans="1:23" ht="12.6" x14ac:dyDescent="0.2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</row>
    <row r="317" spans="1:23" ht="12.6" x14ac:dyDescent="0.2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</row>
    <row r="318" spans="1:23" ht="12.6" x14ac:dyDescent="0.2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</row>
    <row r="319" spans="1:23" ht="12.6" x14ac:dyDescent="0.2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</row>
    <row r="320" spans="1:23" ht="12.6" x14ac:dyDescent="0.2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</row>
    <row r="321" spans="1:23" ht="12.6" x14ac:dyDescent="0.2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</row>
    <row r="322" spans="1:23" ht="12.6" x14ac:dyDescent="0.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</row>
    <row r="323" spans="1:23" ht="12.6" x14ac:dyDescent="0.2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</row>
    <row r="324" spans="1:23" ht="12.6" x14ac:dyDescent="0.2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</row>
    <row r="325" spans="1:23" ht="12.6" x14ac:dyDescent="0.2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</row>
    <row r="326" spans="1:23" ht="12.6" x14ac:dyDescent="0.2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</row>
    <row r="327" spans="1:23" ht="12.6" x14ac:dyDescent="0.2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</row>
    <row r="328" spans="1:23" ht="12.6" x14ac:dyDescent="0.2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</row>
    <row r="329" spans="1:23" ht="12.6" x14ac:dyDescent="0.2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</row>
    <row r="330" spans="1:23" ht="12.6" x14ac:dyDescent="0.2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</row>
    <row r="331" spans="1:23" ht="12.6" x14ac:dyDescent="0.2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</row>
    <row r="332" spans="1:23" ht="12.6" x14ac:dyDescent="0.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</row>
    <row r="333" spans="1:23" ht="12.6" x14ac:dyDescent="0.2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</row>
    <row r="334" spans="1:23" ht="12.6" x14ac:dyDescent="0.2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</row>
    <row r="335" spans="1:23" ht="12.6" x14ac:dyDescent="0.2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</row>
    <row r="336" spans="1:23" ht="12.6" x14ac:dyDescent="0.2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</row>
    <row r="337" spans="1:23" ht="12.6" x14ac:dyDescent="0.2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</row>
    <row r="338" spans="1:23" ht="12.6" x14ac:dyDescent="0.2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</row>
    <row r="339" spans="1:23" ht="12.6" x14ac:dyDescent="0.2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</row>
    <row r="340" spans="1:23" ht="12.6" x14ac:dyDescent="0.2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</row>
    <row r="341" spans="1:23" ht="12.6" x14ac:dyDescent="0.2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</row>
    <row r="342" spans="1:23" ht="12.6" x14ac:dyDescent="0.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</row>
    <row r="343" spans="1:23" ht="12.6" x14ac:dyDescent="0.2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</row>
    <row r="344" spans="1:23" ht="12.6" x14ac:dyDescent="0.2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</row>
    <row r="345" spans="1:23" ht="12.6" x14ac:dyDescent="0.2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</row>
    <row r="346" spans="1:23" ht="12.6" x14ac:dyDescent="0.2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</row>
    <row r="347" spans="1:23" ht="12.6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</row>
    <row r="348" spans="1:23" ht="12.6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</row>
    <row r="349" spans="1:23" ht="12.6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</row>
    <row r="350" spans="1:23" ht="12.6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</row>
    <row r="351" spans="1:23" ht="12.6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</row>
    <row r="352" spans="1:23" ht="12.6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</row>
    <row r="353" spans="1:23" ht="12.6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</row>
    <row r="354" spans="1:23" ht="12.6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</row>
    <row r="355" spans="1:23" ht="12.6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</row>
    <row r="356" spans="1:23" ht="12.6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</row>
    <row r="357" spans="1:23" ht="12.6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</row>
    <row r="358" spans="1:23" ht="12.6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</row>
    <row r="359" spans="1:23" ht="12.6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</row>
    <row r="360" spans="1:23" ht="12.6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</row>
    <row r="361" spans="1:23" ht="12.6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</row>
    <row r="362" spans="1:23" ht="12.6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</row>
    <row r="363" spans="1:23" ht="12.6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</row>
    <row r="364" spans="1:23" ht="12.6" x14ac:dyDescent="0.2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</row>
    <row r="365" spans="1:23" ht="12.6" x14ac:dyDescent="0.2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</row>
    <row r="366" spans="1:23" ht="12.6" x14ac:dyDescent="0.2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</row>
    <row r="367" spans="1:23" ht="12.6" x14ac:dyDescent="0.2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</row>
    <row r="368" spans="1:23" ht="12.6" x14ac:dyDescent="0.2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</row>
    <row r="369" spans="1:23" ht="12.6" x14ac:dyDescent="0.2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</row>
    <row r="370" spans="1:23" ht="12.6" x14ac:dyDescent="0.2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</row>
    <row r="371" spans="1:23" ht="12.6" x14ac:dyDescent="0.2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</row>
    <row r="372" spans="1:23" ht="12.6" x14ac:dyDescent="0.2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</row>
    <row r="373" spans="1:23" ht="12.6" x14ac:dyDescent="0.2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</row>
    <row r="374" spans="1:23" ht="12.6" x14ac:dyDescent="0.2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</row>
    <row r="375" spans="1:23" ht="12.6" x14ac:dyDescent="0.2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</row>
    <row r="376" spans="1:23" ht="12.6" x14ac:dyDescent="0.2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</row>
    <row r="377" spans="1:23" ht="12.6" x14ac:dyDescent="0.2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</row>
    <row r="378" spans="1:23" ht="12.6" x14ac:dyDescent="0.2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</row>
    <row r="379" spans="1:23" ht="12.6" x14ac:dyDescent="0.2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</row>
    <row r="380" spans="1:23" ht="12.6" x14ac:dyDescent="0.2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</row>
    <row r="381" spans="1:23" ht="12.6" x14ac:dyDescent="0.2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</row>
    <row r="382" spans="1:23" ht="12.6" x14ac:dyDescent="0.2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</row>
    <row r="383" spans="1:23" ht="12.6" x14ac:dyDescent="0.2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</row>
    <row r="384" spans="1:23" ht="12.6" x14ac:dyDescent="0.2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</row>
    <row r="385" spans="1:23" ht="12.6" x14ac:dyDescent="0.2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</row>
    <row r="386" spans="1:23" ht="12.6" x14ac:dyDescent="0.2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</row>
    <row r="387" spans="1:23" ht="12.6" x14ac:dyDescent="0.2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</row>
    <row r="388" spans="1:23" ht="12.6" x14ac:dyDescent="0.2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</row>
    <row r="389" spans="1:23" ht="12.6" x14ac:dyDescent="0.2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</row>
    <row r="390" spans="1:23" ht="12.6" x14ac:dyDescent="0.2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</row>
    <row r="391" spans="1:23" ht="12.6" x14ac:dyDescent="0.2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</row>
    <row r="392" spans="1:23" ht="12.6" x14ac:dyDescent="0.2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</row>
    <row r="393" spans="1:23" ht="12.6" x14ac:dyDescent="0.2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</row>
    <row r="394" spans="1:23" ht="12.6" x14ac:dyDescent="0.2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</row>
    <row r="395" spans="1:23" ht="12.6" x14ac:dyDescent="0.2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</row>
    <row r="396" spans="1:23" ht="12.6" x14ac:dyDescent="0.2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</row>
    <row r="397" spans="1:23" ht="12.6" x14ac:dyDescent="0.2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</row>
    <row r="398" spans="1:23" ht="12.6" x14ac:dyDescent="0.2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</row>
    <row r="399" spans="1:23" ht="12.6" x14ac:dyDescent="0.2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</row>
    <row r="400" spans="1:23" ht="12.6" x14ac:dyDescent="0.2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</row>
    <row r="401" spans="1:23" ht="12.6" x14ac:dyDescent="0.2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</row>
    <row r="402" spans="1:23" ht="12.6" x14ac:dyDescent="0.2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</row>
    <row r="403" spans="1:23" ht="12.6" x14ac:dyDescent="0.2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</row>
    <row r="404" spans="1:23" ht="12.6" x14ac:dyDescent="0.2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</row>
    <row r="405" spans="1:23" ht="12.6" x14ac:dyDescent="0.2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</row>
    <row r="406" spans="1:23" ht="12.6" x14ac:dyDescent="0.2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</row>
    <row r="407" spans="1:23" ht="12.6" x14ac:dyDescent="0.2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</row>
    <row r="408" spans="1:23" ht="12.6" x14ac:dyDescent="0.2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</row>
    <row r="409" spans="1:23" ht="12.6" x14ac:dyDescent="0.2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</row>
    <row r="410" spans="1:23" ht="12.6" x14ac:dyDescent="0.2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</row>
    <row r="411" spans="1:23" ht="12.6" x14ac:dyDescent="0.2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</row>
    <row r="412" spans="1:23" ht="12.6" x14ac:dyDescent="0.2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</row>
    <row r="413" spans="1:23" ht="12.6" x14ac:dyDescent="0.2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</row>
    <row r="414" spans="1:23" ht="12.6" x14ac:dyDescent="0.2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</row>
    <row r="415" spans="1:23" ht="12.6" x14ac:dyDescent="0.2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</row>
    <row r="416" spans="1:23" ht="12.6" x14ac:dyDescent="0.2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</row>
    <row r="417" spans="1:23" ht="12.6" x14ac:dyDescent="0.2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</row>
    <row r="418" spans="1:23" ht="12.6" x14ac:dyDescent="0.2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</row>
    <row r="419" spans="1:23" ht="12.6" x14ac:dyDescent="0.2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</row>
    <row r="420" spans="1:23" ht="12.6" x14ac:dyDescent="0.2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</row>
    <row r="421" spans="1:23" ht="12.6" x14ac:dyDescent="0.2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</row>
    <row r="422" spans="1:23" ht="12.6" x14ac:dyDescent="0.2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</row>
    <row r="423" spans="1:23" ht="12.6" x14ac:dyDescent="0.2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</row>
    <row r="424" spans="1:23" ht="12.6" x14ac:dyDescent="0.2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</row>
    <row r="425" spans="1:23" ht="12.6" x14ac:dyDescent="0.2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</row>
    <row r="426" spans="1:23" ht="12.6" x14ac:dyDescent="0.2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</row>
    <row r="427" spans="1:23" ht="12.6" x14ac:dyDescent="0.2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</row>
    <row r="428" spans="1:23" ht="12.6" x14ac:dyDescent="0.2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</row>
    <row r="429" spans="1:23" ht="12.6" x14ac:dyDescent="0.2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</row>
    <row r="430" spans="1:23" ht="12.6" x14ac:dyDescent="0.2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</row>
    <row r="431" spans="1:23" ht="12.6" x14ac:dyDescent="0.2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</row>
    <row r="432" spans="1:23" ht="12.6" x14ac:dyDescent="0.2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</row>
    <row r="433" spans="1:23" ht="12.6" x14ac:dyDescent="0.2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</row>
    <row r="434" spans="1:23" ht="12.6" x14ac:dyDescent="0.2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</row>
    <row r="435" spans="1:23" ht="12.6" x14ac:dyDescent="0.2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</row>
    <row r="436" spans="1:23" ht="12.6" x14ac:dyDescent="0.2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</row>
    <row r="437" spans="1:23" ht="12.6" x14ac:dyDescent="0.2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</row>
    <row r="438" spans="1:23" ht="12.6" x14ac:dyDescent="0.2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</row>
    <row r="439" spans="1:23" ht="12.6" x14ac:dyDescent="0.2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</row>
    <row r="440" spans="1:23" ht="12.6" x14ac:dyDescent="0.2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</row>
    <row r="441" spans="1:23" ht="12.6" x14ac:dyDescent="0.2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</row>
    <row r="442" spans="1:23" ht="12.6" x14ac:dyDescent="0.2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</row>
    <row r="443" spans="1:23" ht="12.6" x14ac:dyDescent="0.2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</row>
    <row r="444" spans="1:23" ht="12.6" x14ac:dyDescent="0.2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</row>
    <row r="445" spans="1:23" ht="12.6" x14ac:dyDescent="0.2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</row>
    <row r="446" spans="1:23" ht="12.6" x14ac:dyDescent="0.2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</row>
    <row r="447" spans="1:23" ht="12.6" x14ac:dyDescent="0.2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</row>
    <row r="448" spans="1:23" ht="12.6" x14ac:dyDescent="0.2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</row>
    <row r="449" spans="1:23" ht="12.6" x14ac:dyDescent="0.2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</row>
    <row r="450" spans="1:23" ht="12.6" x14ac:dyDescent="0.2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</row>
    <row r="451" spans="1:23" ht="12.6" x14ac:dyDescent="0.2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</row>
    <row r="452" spans="1:23" ht="12.6" x14ac:dyDescent="0.2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</row>
    <row r="453" spans="1:23" ht="12.6" x14ac:dyDescent="0.2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</row>
    <row r="454" spans="1:23" ht="12.6" x14ac:dyDescent="0.2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</row>
    <row r="455" spans="1:23" ht="12.6" x14ac:dyDescent="0.2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</row>
    <row r="456" spans="1:23" ht="12.6" x14ac:dyDescent="0.2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</row>
    <row r="457" spans="1:23" ht="12.6" x14ac:dyDescent="0.2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</row>
    <row r="458" spans="1:23" ht="12.6" x14ac:dyDescent="0.2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</row>
    <row r="459" spans="1:23" ht="12.6" x14ac:dyDescent="0.2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</row>
    <row r="460" spans="1:23" ht="12.6" x14ac:dyDescent="0.2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</row>
    <row r="461" spans="1:23" ht="12.6" x14ac:dyDescent="0.2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</row>
    <row r="462" spans="1:23" ht="12.6" x14ac:dyDescent="0.2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</row>
    <row r="463" spans="1:23" ht="12.6" x14ac:dyDescent="0.2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</row>
    <row r="464" spans="1:23" ht="12.6" x14ac:dyDescent="0.2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</row>
    <row r="465" spans="1:23" ht="12.6" x14ac:dyDescent="0.2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</row>
    <row r="466" spans="1:23" ht="12.6" x14ac:dyDescent="0.2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</row>
    <row r="467" spans="1:23" ht="12.6" x14ac:dyDescent="0.2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</row>
    <row r="468" spans="1:23" ht="12.6" x14ac:dyDescent="0.2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</row>
    <row r="469" spans="1:23" ht="12.6" x14ac:dyDescent="0.2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</row>
    <row r="470" spans="1:23" ht="12.6" x14ac:dyDescent="0.2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</row>
    <row r="471" spans="1:23" ht="12.6" x14ac:dyDescent="0.2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</row>
    <row r="472" spans="1:23" ht="12.6" x14ac:dyDescent="0.2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</row>
    <row r="473" spans="1:23" ht="12.6" x14ac:dyDescent="0.2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</row>
    <row r="474" spans="1:23" ht="12.6" x14ac:dyDescent="0.2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</row>
    <row r="475" spans="1:23" ht="12.6" x14ac:dyDescent="0.2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</row>
    <row r="476" spans="1:23" ht="12.6" x14ac:dyDescent="0.2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</row>
    <row r="477" spans="1:23" ht="12.6" x14ac:dyDescent="0.2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</row>
    <row r="478" spans="1:23" ht="12.6" x14ac:dyDescent="0.2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</row>
    <row r="479" spans="1:23" ht="12.6" x14ac:dyDescent="0.2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</row>
    <row r="480" spans="1:23" ht="12.6" x14ac:dyDescent="0.2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</row>
    <row r="481" spans="1:23" ht="12.6" x14ac:dyDescent="0.2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</row>
    <row r="482" spans="1:23" ht="12.6" x14ac:dyDescent="0.2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</row>
    <row r="483" spans="1:23" ht="12.6" x14ac:dyDescent="0.2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</row>
    <row r="484" spans="1:23" ht="12.6" x14ac:dyDescent="0.2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</row>
    <row r="485" spans="1:23" ht="12.6" x14ac:dyDescent="0.2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</row>
    <row r="486" spans="1:23" ht="12.6" x14ac:dyDescent="0.2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</row>
    <row r="487" spans="1:23" ht="12.6" x14ac:dyDescent="0.2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</row>
    <row r="488" spans="1:23" ht="12.6" x14ac:dyDescent="0.2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</row>
    <row r="489" spans="1:23" ht="12.6" x14ac:dyDescent="0.2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</row>
    <row r="490" spans="1:23" ht="12.6" x14ac:dyDescent="0.2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</row>
    <row r="491" spans="1:23" ht="12.6" x14ac:dyDescent="0.2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</row>
    <row r="492" spans="1:23" ht="12.6" x14ac:dyDescent="0.2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</row>
    <row r="493" spans="1:23" ht="12.6" x14ac:dyDescent="0.2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</row>
    <row r="494" spans="1:23" ht="12.6" x14ac:dyDescent="0.2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</row>
    <row r="495" spans="1:23" ht="12.6" x14ac:dyDescent="0.2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</row>
    <row r="496" spans="1:23" ht="12.6" x14ac:dyDescent="0.2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</row>
    <row r="497" spans="1:23" ht="12.6" x14ac:dyDescent="0.2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</row>
    <row r="498" spans="1:23" ht="12.6" x14ac:dyDescent="0.2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</row>
    <row r="499" spans="1:23" ht="12.6" x14ac:dyDescent="0.2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</row>
    <row r="500" spans="1:23" ht="12.6" x14ac:dyDescent="0.2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</row>
    <row r="501" spans="1:23" ht="12.6" x14ac:dyDescent="0.2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</row>
    <row r="502" spans="1:23" ht="12.6" x14ac:dyDescent="0.2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</row>
    <row r="503" spans="1:23" ht="12.6" x14ac:dyDescent="0.2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</row>
    <row r="504" spans="1:23" ht="12.6" x14ac:dyDescent="0.2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</row>
    <row r="505" spans="1:23" ht="12.6" x14ac:dyDescent="0.2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</row>
    <row r="506" spans="1:23" ht="12.6" x14ac:dyDescent="0.2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</row>
    <row r="507" spans="1:23" ht="12.6" x14ac:dyDescent="0.2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</row>
    <row r="508" spans="1:23" ht="12.6" x14ac:dyDescent="0.2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</row>
    <row r="509" spans="1:23" ht="12.6" x14ac:dyDescent="0.2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</row>
    <row r="510" spans="1:23" ht="12.6" x14ac:dyDescent="0.2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</row>
    <row r="511" spans="1:23" ht="12.6" x14ac:dyDescent="0.2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</row>
    <row r="512" spans="1:23" ht="12.6" x14ac:dyDescent="0.2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</row>
    <row r="513" spans="1:23" ht="12.6" x14ac:dyDescent="0.2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</row>
    <row r="514" spans="1:23" ht="12.6" x14ac:dyDescent="0.2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</row>
    <row r="515" spans="1:23" ht="12.6" x14ac:dyDescent="0.2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</row>
    <row r="516" spans="1:23" ht="12.6" x14ac:dyDescent="0.2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</row>
    <row r="517" spans="1:23" ht="12.6" x14ac:dyDescent="0.2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</row>
    <row r="518" spans="1:23" ht="12.6" x14ac:dyDescent="0.2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</row>
    <row r="519" spans="1:23" ht="12.6" x14ac:dyDescent="0.2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</row>
    <row r="520" spans="1:23" ht="12.6" x14ac:dyDescent="0.2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</row>
    <row r="521" spans="1:23" ht="12.6" x14ac:dyDescent="0.2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</row>
    <row r="522" spans="1:23" ht="12.6" x14ac:dyDescent="0.2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</row>
    <row r="523" spans="1:23" ht="12.6" x14ac:dyDescent="0.2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</row>
    <row r="524" spans="1:23" ht="12.6" x14ac:dyDescent="0.2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</row>
    <row r="525" spans="1:23" ht="12.6" x14ac:dyDescent="0.2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</row>
    <row r="526" spans="1:23" ht="12.6" x14ac:dyDescent="0.2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</row>
    <row r="527" spans="1:23" ht="12.6" x14ac:dyDescent="0.2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</row>
    <row r="528" spans="1:23" ht="12.6" x14ac:dyDescent="0.2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</row>
    <row r="529" spans="1:23" ht="12.6" x14ac:dyDescent="0.2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</row>
    <row r="530" spans="1:23" ht="12.6" x14ac:dyDescent="0.2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</row>
    <row r="531" spans="1:23" ht="12.6" x14ac:dyDescent="0.2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</row>
    <row r="532" spans="1:23" ht="12.6" x14ac:dyDescent="0.2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</row>
    <row r="533" spans="1:23" ht="12.6" x14ac:dyDescent="0.2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</row>
    <row r="534" spans="1:23" ht="12.6" x14ac:dyDescent="0.2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</row>
    <row r="535" spans="1:23" ht="12.6" x14ac:dyDescent="0.2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</row>
    <row r="536" spans="1:23" ht="12.6" x14ac:dyDescent="0.2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</row>
    <row r="537" spans="1:23" ht="12.6" x14ac:dyDescent="0.2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</row>
    <row r="538" spans="1:23" ht="12.6" x14ac:dyDescent="0.2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</row>
    <row r="539" spans="1:23" ht="12.6" x14ac:dyDescent="0.2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</row>
    <row r="540" spans="1:23" ht="12.6" x14ac:dyDescent="0.2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</row>
    <row r="541" spans="1:23" ht="12.6" x14ac:dyDescent="0.2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</row>
    <row r="542" spans="1:23" ht="12.6" x14ac:dyDescent="0.2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</row>
    <row r="543" spans="1:23" ht="12.6" x14ac:dyDescent="0.2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</row>
    <row r="544" spans="1:23" ht="12.6" x14ac:dyDescent="0.2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</row>
    <row r="545" spans="1:23" ht="12.6" x14ac:dyDescent="0.2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</row>
    <row r="546" spans="1:23" ht="12.6" x14ac:dyDescent="0.2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</row>
    <row r="547" spans="1:23" ht="12.6" x14ac:dyDescent="0.2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</row>
    <row r="548" spans="1:23" ht="12.6" x14ac:dyDescent="0.2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</row>
    <row r="549" spans="1:23" ht="12.6" x14ac:dyDescent="0.2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</row>
    <row r="550" spans="1:23" ht="12.6" x14ac:dyDescent="0.2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</row>
    <row r="551" spans="1:23" ht="12.6" x14ac:dyDescent="0.2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</row>
    <row r="552" spans="1:23" ht="12.6" x14ac:dyDescent="0.2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</row>
    <row r="553" spans="1:23" ht="12.6" x14ac:dyDescent="0.2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</row>
    <row r="554" spans="1:23" ht="12.6" x14ac:dyDescent="0.2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</row>
    <row r="555" spans="1:23" ht="12.6" x14ac:dyDescent="0.2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</row>
    <row r="556" spans="1:23" ht="12.6" x14ac:dyDescent="0.2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</row>
    <row r="557" spans="1:23" ht="12.6" x14ac:dyDescent="0.2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</row>
    <row r="558" spans="1:23" ht="12.6" x14ac:dyDescent="0.2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</row>
    <row r="559" spans="1:23" ht="12.6" x14ac:dyDescent="0.2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</row>
    <row r="560" spans="1:23" ht="12.6" x14ac:dyDescent="0.2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</row>
    <row r="561" spans="1:23" ht="12.6" x14ac:dyDescent="0.2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</row>
    <row r="562" spans="1:23" ht="12.6" x14ac:dyDescent="0.2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</row>
    <row r="563" spans="1:23" ht="12.6" x14ac:dyDescent="0.2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</row>
    <row r="564" spans="1:23" ht="12.6" x14ac:dyDescent="0.2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</row>
    <row r="565" spans="1:23" ht="12.6" x14ac:dyDescent="0.2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</row>
    <row r="566" spans="1:23" ht="12.6" x14ac:dyDescent="0.2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</row>
    <row r="567" spans="1:23" ht="12.6" x14ac:dyDescent="0.2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</row>
    <row r="568" spans="1:23" ht="12.6" x14ac:dyDescent="0.2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</row>
    <row r="569" spans="1:23" ht="12.6" x14ac:dyDescent="0.2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</row>
    <row r="570" spans="1:23" ht="12.6" x14ac:dyDescent="0.2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</row>
    <row r="571" spans="1:23" ht="12.6" x14ac:dyDescent="0.2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</row>
    <row r="572" spans="1:23" ht="12.6" x14ac:dyDescent="0.2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</row>
    <row r="573" spans="1:23" ht="12.6" x14ac:dyDescent="0.2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</row>
    <row r="574" spans="1:23" ht="12.6" x14ac:dyDescent="0.2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</row>
    <row r="575" spans="1:23" ht="12.6" x14ac:dyDescent="0.2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</row>
    <row r="576" spans="1:23" ht="12.6" x14ac:dyDescent="0.2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</row>
    <row r="577" spans="1:23" ht="12.6" x14ac:dyDescent="0.2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</row>
    <row r="578" spans="1:23" ht="12.6" x14ac:dyDescent="0.2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</row>
    <row r="579" spans="1:23" ht="12.6" x14ac:dyDescent="0.2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</row>
    <row r="580" spans="1:23" ht="12.6" x14ac:dyDescent="0.2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</row>
    <row r="581" spans="1:23" ht="12.6" x14ac:dyDescent="0.2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</row>
    <row r="582" spans="1:23" ht="12.6" x14ac:dyDescent="0.2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</row>
    <row r="583" spans="1:23" ht="12.6" x14ac:dyDescent="0.2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</row>
    <row r="584" spans="1:23" ht="12.6" x14ac:dyDescent="0.2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</row>
    <row r="585" spans="1:23" ht="12.6" x14ac:dyDescent="0.2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</row>
    <row r="586" spans="1:23" ht="12.6" x14ac:dyDescent="0.2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</row>
    <row r="587" spans="1:23" ht="12.6" x14ac:dyDescent="0.2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</row>
    <row r="588" spans="1:23" ht="12.6" x14ac:dyDescent="0.2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</row>
    <row r="589" spans="1:23" ht="12.6" x14ac:dyDescent="0.2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</row>
    <row r="590" spans="1:23" ht="12.6" x14ac:dyDescent="0.2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</row>
    <row r="591" spans="1:23" ht="12.6" x14ac:dyDescent="0.2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</row>
    <row r="592" spans="1:23" ht="12.6" x14ac:dyDescent="0.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</row>
    <row r="593" spans="1:23" ht="12.6" x14ac:dyDescent="0.2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</row>
    <row r="594" spans="1:23" ht="12.6" x14ac:dyDescent="0.2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</row>
    <row r="595" spans="1:23" ht="12.6" x14ac:dyDescent="0.2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</row>
    <row r="596" spans="1:23" ht="12.6" x14ac:dyDescent="0.2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</row>
    <row r="597" spans="1:23" ht="12.6" x14ac:dyDescent="0.2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</row>
    <row r="598" spans="1:23" ht="12.6" x14ac:dyDescent="0.2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</row>
    <row r="599" spans="1:23" ht="12.6" x14ac:dyDescent="0.2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</row>
    <row r="600" spans="1:23" ht="12.6" x14ac:dyDescent="0.2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</row>
    <row r="601" spans="1:23" ht="12.6" x14ac:dyDescent="0.2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</row>
    <row r="602" spans="1:23" ht="12.6" x14ac:dyDescent="0.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</row>
    <row r="603" spans="1:23" ht="12.6" x14ac:dyDescent="0.2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</row>
    <row r="604" spans="1:23" ht="12.6" x14ac:dyDescent="0.2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</row>
    <row r="605" spans="1:23" ht="12.6" x14ac:dyDescent="0.2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</row>
    <row r="606" spans="1:23" ht="12.6" x14ac:dyDescent="0.2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</row>
    <row r="607" spans="1:23" ht="12.6" x14ac:dyDescent="0.2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</row>
    <row r="608" spans="1:23" ht="12.6" x14ac:dyDescent="0.2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</row>
    <row r="609" spans="1:23" ht="12.6" x14ac:dyDescent="0.2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</row>
    <row r="610" spans="1:23" ht="12.6" x14ac:dyDescent="0.2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</row>
    <row r="611" spans="1:23" ht="12.6" x14ac:dyDescent="0.2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</row>
    <row r="612" spans="1:23" ht="12.6" x14ac:dyDescent="0.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</row>
    <row r="613" spans="1:23" ht="12.6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</row>
    <row r="614" spans="1:23" ht="12.6" x14ac:dyDescent="0.2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</row>
    <row r="615" spans="1:23" ht="12.6" x14ac:dyDescent="0.2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</row>
    <row r="616" spans="1:23" ht="12.6" x14ac:dyDescent="0.2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</row>
    <row r="617" spans="1:23" ht="12.6" x14ac:dyDescent="0.2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</row>
    <row r="618" spans="1:23" ht="12.6" x14ac:dyDescent="0.2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</row>
    <row r="619" spans="1:23" ht="12.6" x14ac:dyDescent="0.2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</row>
    <row r="620" spans="1:23" ht="12.6" x14ac:dyDescent="0.2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</row>
    <row r="621" spans="1:23" ht="12.6" x14ac:dyDescent="0.2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</row>
    <row r="622" spans="1:23" ht="12.6" x14ac:dyDescent="0.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</row>
    <row r="623" spans="1:23" ht="12.6" x14ac:dyDescent="0.2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</row>
    <row r="624" spans="1:23" ht="12.6" x14ac:dyDescent="0.2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</row>
    <row r="625" spans="1:23" ht="12.6" x14ac:dyDescent="0.2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</row>
    <row r="626" spans="1:23" ht="12.6" x14ac:dyDescent="0.2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</row>
    <row r="627" spans="1:23" ht="12.6" x14ac:dyDescent="0.2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</row>
    <row r="628" spans="1:23" ht="12.6" x14ac:dyDescent="0.2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</row>
    <row r="629" spans="1:23" ht="12.6" x14ac:dyDescent="0.2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</row>
    <row r="630" spans="1:23" ht="12.6" x14ac:dyDescent="0.2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</row>
    <row r="631" spans="1:23" ht="12.6" x14ac:dyDescent="0.2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</row>
    <row r="632" spans="1:23" ht="12.6" x14ac:dyDescent="0.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</row>
    <row r="633" spans="1:23" ht="12.6" x14ac:dyDescent="0.2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</row>
    <row r="634" spans="1:23" ht="12.6" x14ac:dyDescent="0.2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</row>
    <row r="635" spans="1:23" ht="12.6" x14ac:dyDescent="0.2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</row>
    <row r="636" spans="1:23" ht="12.6" x14ac:dyDescent="0.2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</row>
    <row r="637" spans="1:23" ht="12.6" x14ac:dyDescent="0.2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</row>
    <row r="638" spans="1:23" ht="12.6" x14ac:dyDescent="0.2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</row>
    <row r="639" spans="1:23" ht="12.6" x14ac:dyDescent="0.2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</row>
    <row r="640" spans="1:23" ht="12.6" x14ac:dyDescent="0.2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</row>
    <row r="641" spans="1:23" ht="12.6" x14ac:dyDescent="0.2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</row>
    <row r="642" spans="1:23" ht="12.6" x14ac:dyDescent="0.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</row>
    <row r="643" spans="1:23" ht="12.6" x14ac:dyDescent="0.2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</row>
    <row r="644" spans="1:23" ht="12.6" x14ac:dyDescent="0.2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</row>
    <row r="645" spans="1:23" ht="12.6" x14ac:dyDescent="0.2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</row>
    <row r="646" spans="1:23" ht="12.6" x14ac:dyDescent="0.2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</row>
    <row r="647" spans="1:23" ht="12.6" x14ac:dyDescent="0.2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</row>
    <row r="648" spans="1:23" ht="12.6" x14ac:dyDescent="0.2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</row>
    <row r="649" spans="1:23" ht="12.6" x14ac:dyDescent="0.2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</row>
    <row r="650" spans="1:23" ht="12.6" x14ac:dyDescent="0.2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</row>
    <row r="651" spans="1:23" ht="12.6" x14ac:dyDescent="0.2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</row>
    <row r="652" spans="1:23" ht="12.6" x14ac:dyDescent="0.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</row>
    <row r="653" spans="1:23" ht="12.6" x14ac:dyDescent="0.2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</row>
    <row r="654" spans="1:23" ht="12.6" x14ac:dyDescent="0.2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</row>
    <row r="655" spans="1:23" ht="12.6" x14ac:dyDescent="0.2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</row>
    <row r="656" spans="1:23" ht="12.6" x14ac:dyDescent="0.2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</row>
    <row r="657" spans="1:23" ht="12.6" x14ac:dyDescent="0.2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</row>
    <row r="658" spans="1:23" ht="12.6" x14ac:dyDescent="0.2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</row>
    <row r="659" spans="1:23" ht="12.6" x14ac:dyDescent="0.2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</row>
    <row r="660" spans="1:23" ht="12.6" x14ac:dyDescent="0.2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</row>
    <row r="661" spans="1:23" ht="12.6" x14ac:dyDescent="0.2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</row>
    <row r="662" spans="1:23" ht="12.6" x14ac:dyDescent="0.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</row>
    <row r="663" spans="1:23" ht="12.6" x14ac:dyDescent="0.2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</row>
    <row r="664" spans="1:23" ht="12.6" x14ac:dyDescent="0.2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</row>
    <row r="665" spans="1:23" ht="12.6" x14ac:dyDescent="0.2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</row>
    <row r="666" spans="1:23" ht="12.6" x14ac:dyDescent="0.2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</row>
    <row r="667" spans="1:23" ht="12.6" x14ac:dyDescent="0.2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</row>
    <row r="668" spans="1:23" ht="12.6" x14ac:dyDescent="0.2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</row>
    <row r="669" spans="1:23" ht="12.6" x14ac:dyDescent="0.2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</row>
    <row r="670" spans="1:23" ht="12.6" x14ac:dyDescent="0.2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</row>
    <row r="671" spans="1:23" ht="12.6" x14ac:dyDescent="0.2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</row>
    <row r="672" spans="1:23" ht="12.6" x14ac:dyDescent="0.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</row>
    <row r="673" spans="1:23" ht="12.6" x14ac:dyDescent="0.2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</row>
    <row r="674" spans="1:23" ht="12.6" x14ac:dyDescent="0.2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</row>
    <row r="675" spans="1:23" ht="12.6" x14ac:dyDescent="0.2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</row>
    <row r="676" spans="1:23" ht="12.6" x14ac:dyDescent="0.2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</row>
    <row r="677" spans="1:23" ht="12.6" x14ac:dyDescent="0.2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</row>
    <row r="678" spans="1:23" ht="12.6" x14ac:dyDescent="0.2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</row>
    <row r="679" spans="1:23" ht="12.6" x14ac:dyDescent="0.2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</row>
    <row r="680" spans="1:23" ht="12.6" x14ac:dyDescent="0.2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</row>
    <row r="681" spans="1:23" ht="12.6" x14ac:dyDescent="0.2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</row>
    <row r="682" spans="1:23" ht="12.6" x14ac:dyDescent="0.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</row>
    <row r="683" spans="1:23" ht="12.6" x14ac:dyDescent="0.2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</row>
    <row r="684" spans="1:23" ht="12.6" x14ac:dyDescent="0.2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</row>
    <row r="685" spans="1:23" ht="12.6" x14ac:dyDescent="0.2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</row>
    <row r="686" spans="1:23" ht="12.6" x14ac:dyDescent="0.2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</row>
    <row r="687" spans="1:23" ht="12.6" x14ac:dyDescent="0.2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</row>
    <row r="688" spans="1:23" ht="12.6" x14ac:dyDescent="0.2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</row>
    <row r="689" spans="1:23" ht="12.6" x14ac:dyDescent="0.2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</row>
    <row r="690" spans="1:23" ht="12.6" x14ac:dyDescent="0.2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</row>
    <row r="691" spans="1:23" ht="12.6" x14ac:dyDescent="0.2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</row>
    <row r="692" spans="1:23" ht="12.6" x14ac:dyDescent="0.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</row>
    <row r="693" spans="1:23" ht="12.6" x14ac:dyDescent="0.2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</row>
    <row r="694" spans="1:23" ht="12.6" x14ac:dyDescent="0.2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</row>
    <row r="695" spans="1:23" ht="12.6" x14ac:dyDescent="0.2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</row>
    <row r="696" spans="1:23" ht="12.6" x14ac:dyDescent="0.2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</row>
    <row r="697" spans="1:23" ht="12.6" x14ac:dyDescent="0.2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</row>
    <row r="698" spans="1:23" ht="12.6" x14ac:dyDescent="0.2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</row>
    <row r="699" spans="1:23" ht="12.6" x14ac:dyDescent="0.2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</row>
    <row r="700" spans="1:23" ht="12.6" x14ac:dyDescent="0.2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</row>
    <row r="701" spans="1:23" ht="12.6" x14ac:dyDescent="0.2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</row>
    <row r="702" spans="1:23" ht="12.6" x14ac:dyDescent="0.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</row>
    <row r="703" spans="1:23" ht="12.6" x14ac:dyDescent="0.2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</row>
    <row r="704" spans="1:23" ht="12.6" x14ac:dyDescent="0.2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</row>
    <row r="705" spans="1:23" ht="12.6" x14ac:dyDescent="0.2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</row>
    <row r="706" spans="1:23" ht="12.6" x14ac:dyDescent="0.2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</row>
    <row r="707" spans="1:23" ht="12.6" x14ac:dyDescent="0.2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</row>
    <row r="708" spans="1:23" ht="12.6" x14ac:dyDescent="0.2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</row>
    <row r="709" spans="1:23" ht="12.6" x14ac:dyDescent="0.2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</row>
    <row r="710" spans="1:23" ht="12.6" x14ac:dyDescent="0.2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</row>
    <row r="711" spans="1:23" ht="12.6" x14ac:dyDescent="0.2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</row>
    <row r="712" spans="1:23" ht="12.6" x14ac:dyDescent="0.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</row>
    <row r="713" spans="1:23" ht="12.6" x14ac:dyDescent="0.2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</row>
    <row r="714" spans="1:23" ht="12.6" x14ac:dyDescent="0.2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</row>
    <row r="715" spans="1:23" ht="12.6" x14ac:dyDescent="0.2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</row>
    <row r="716" spans="1:23" ht="12.6" x14ac:dyDescent="0.2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</row>
    <row r="717" spans="1:23" ht="12.6" x14ac:dyDescent="0.2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</row>
    <row r="718" spans="1:23" ht="12.6" x14ac:dyDescent="0.2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</row>
    <row r="719" spans="1:23" ht="12.6" x14ac:dyDescent="0.2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</row>
    <row r="720" spans="1:23" ht="12.6" x14ac:dyDescent="0.2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</row>
    <row r="721" spans="1:23" ht="12.6" x14ac:dyDescent="0.2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</row>
    <row r="722" spans="1:23" ht="12.6" x14ac:dyDescent="0.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</row>
    <row r="723" spans="1:23" ht="12.6" x14ac:dyDescent="0.2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</row>
    <row r="724" spans="1:23" ht="12.6" x14ac:dyDescent="0.2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</row>
    <row r="725" spans="1:23" ht="12.6" x14ac:dyDescent="0.2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</row>
    <row r="726" spans="1:23" ht="12.6" x14ac:dyDescent="0.2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</row>
    <row r="727" spans="1:23" ht="12.6" x14ac:dyDescent="0.2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</row>
    <row r="728" spans="1:23" ht="12.6" x14ac:dyDescent="0.2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</row>
    <row r="729" spans="1:23" ht="12.6" x14ac:dyDescent="0.2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</row>
    <row r="730" spans="1:23" ht="12.6" x14ac:dyDescent="0.2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</row>
    <row r="731" spans="1:23" ht="12.6" x14ac:dyDescent="0.2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</row>
    <row r="732" spans="1:23" ht="12.6" x14ac:dyDescent="0.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</row>
    <row r="733" spans="1:23" ht="12.6" x14ac:dyDescent="0.2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</row>
    <row r="734" spans="1:23" ht="12.6" x14ac:dyDescent="0.2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</row>
    <row r="735" spans="1:23" ht="12.6" x14ac:dyDescent="0.2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</row>
    <row r="736" spans="1:23" ht="12.6" x14ac:dyDescent="0.2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</row>
    <row r="737" spans="1:23" ht="12.6" x14ac:dyDescent="0.2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</row>
    <row r="738" spans="1:23" ht="12.6" x14ac:dyDescent="0.2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</row>
    <row r="739" spans="1:23" ht="12.6" x14ac:dyDescent="0.2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</row>
    <row r="740" spans="1:23" ht="12.6" x14ac:dyDescent="0.2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</row>
    <row r="741" spans="1:23" ht="12.6" x14ac:dyDescent="0.2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</row>
    <row r="742" spans="1:23" ht="12.6" x14ac:dyDescent="0.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</row>
    <row r="743" spans="1:23" ht="12.6" x14ac:dyDescent="0.2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</row>
    <row r="744" spans="1:23" ht="12.6" x14ac:dyDescent="0.2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</row>
    <row r="745" spans="1:23" ht="12.6" x14ac:dyDescent="0.2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</row>
    <row r="746" spans="1:23" ht="12.6" x14ac:dyDescent="0.2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</row>
    <row r="747" spans="1:23" ht="12.6" x14ac:dyDescent="0.2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</row>
    <row r="748" spans="1:23" ht="12.6" x14ac:dyDescent="0.2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</row>
    <row r="749" spans="1:23" ht="12.6" x14ac:dyDescent="0.2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</row>
    <row r="750" spans="1:23" ht="12.6" x14ac:dyDescent="0.2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</row>
    <row r="751" spans="1:23" ht="12.6" x14ac:dyDescent="0.2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</row>
    <row r="752" spans="1:23" ht="12.6" x14ac:dyDescent="0.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</row>
    <row r="753" spans="1:23" ht="12.6" x14ac:dyDescent="0.2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</row>
    <row r="754" spans="1:23" ht="12.6" x14ac:dyDescent="0.2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</row>
    <row r="755" spans="1:23" ht="12.6" x14ac:dyDescent="0.2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</row>
    <row r="756" spans="1:23" ht="12.6" x14ac:dyDescent="0.2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</row>
    <row r="757" spans="1:23" ht="12.6" x14ac:dyDescent="0.2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</row>
    <row r="758" spans="1:23" ht="12.6" x14ac:dyDescent="0.2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</row>
    <row r="759" spans="1:23" ht="12.6" x14ac:dyDescent="0.2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</row>
    <row r="760" spans="1:23" ht="12.6" x14ac:dyDescent="0.2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</row>
    <row r="761" spans="1:23" ht="12.6" x14ac:dyDescent="0.2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</row>
    <row r="762" spans="1:23" ht="12.6" x14ac:dyDescent="0.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</row>
    <row r="763" spans="1:23" ht="12.6" x14ac:dyDescent="0.2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</row>
    <row r="764" spans="1:23" ht="12.6" x14ac:dyDescent="0.2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</row>
    <row r="765" spans="1:23" ht="12.6" x14ac:dyDescent="0.2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</row>
    <row r="766" spans="1:23" ht="12.6" x14ac:dyDescent="0.2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</row>
    <row r="767" spans="1:23" ht="12.6" x14ac:dyDescent="0.2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</row>
    <row r="768" spans="1:23" ht="12.6" x14ac:dyDescent="0.2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</row>
    <row r="769" spans="1:23" ht="12.6" x14ac:dyDescent="0.2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</row>
    <row r="770" spans="1:23" ht="12.6" x14ac:dyDescent="0.2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</row>
    <row r="771" spans="1:23" ht="12.6" x14ac:dyDescent="0.2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</row>
    <row r="772" spans="1:23" ht="12.6" x14ac:dyDescent="0.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</row>
    <row r="773" spans="1:23" ht="12.6" x14ac:dyDescent="0.2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</row>
    <row r="774" spans="1:23" ht="12.6" x14ac:dyDescent="0.2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</row>
    <row r="775" spans="1:23" ht="12.6" x14ac:dyDescent="0.2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</row>
    <row r="776" spans="1:23" ht="12.6" x14ac:dyDescent="0.2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</row>
    <row r="777" spans="1:23" ht="12.6" x14ac:dyDescent="0.2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</row>
    <row r="778" spans="1:23" ht="12.6" x14ac:dyDescent="0.2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</row>
    <row r="779" spans="1:23" ht="12.6" x14ac:dyDescent="0.2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</row>
    <row r="780" spans="1:23" ht="12.6" x14ac:dyDescent="0.2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</row>
    <row r="781" spans="1:23" ht="12.6" x14ac:dyDescent="0.2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</row>
    <row r="782" spans="1:23" ht="12.6" x14ac:dyDescent="0.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</row>
    <row r="783" spans="1:23" ht="12.6" x14ac:dyDescent="0.2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</row>
    <row r="784" spans="1:23" ht="12.6" x14ac:dyDescent="0.2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</row>
    <row r="785" spans="1:23" ht="12.6" x14ac:dyDescent="0.2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</row>
    <row r="786" spans="1:23" ht="12.6" x14ac:dyDescent="0.2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</row>
    <row r="787" spans="1:23" ht="12.6" x14ac:dyDescent="0.2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</row>
    <row r="788" spans="1:23" ht="12.6" x14ac:dyDescent="0.2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</row>
    <row r="789" spans="1:23" ht="12.6" x14ac:dyDescent="0.2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</row>
    <row r="790" spans="1:23" ht="12.6" x14ac:dyDescent="0.2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</row>
    <row r="791" spans="1:23" ht="12.6" x14ac:dyDescent="0.2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</row>
    <row r="792" spans="1:23" ht="12.6" x14ac:dyDescent="0.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</row>
    <row r="793" spans="1:23" ht="12.6" x14ac:dyDescent="0.2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</row>
    <row r="794" spans="1:23" ht="12.6" x14ac:dyDescent="0.2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</row>
    <row r="795" spans="1:23" ht="12.6" x14ac:dyDescent="0.2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</row>
    <row r="796" spans="1:23" ht="12.6" x14ac:dyDescent="0.2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</row>
    <row r="797" spans="1:23" ht="12.6" x14ac:dyDescent="0.2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</row>
    <row r="798" spans="1:23" ht="12.6" x14ac:dyDescent="0.2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</row>
    <row r="799" spans="1:23" ht="12.6" x14ac:dyDescent="0.2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</row>
    <row r="800" spans="1:23" ht="12.6" x14ac:dyDescent="0.2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</row>
    <row r="801" spans="1:23" ht="12.6" x14ac:dyDescent="0.2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</row>
    <row r="802" spans="1:23" ht="12.6" x14ac:dyDescent="0.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</row>
    <row r="803" spans="1:23" ht="12.6" x14ac:dyDescent="0.2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</row>
    <row r="804" spans="1:23" ht="12.6" x14ac:dyDescent="0.2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</row>
    <row r="805" spans="1:23" ht="12.6" x14ac:dyDescent="0.2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</row>
    <row r="806" spans="1:23" ht="12.6" x14ac:dyDescent="0.2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</row>
    <row r="807" spans="1:23" ht="12.6" x14ac:dyDescent="0.2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</row>
    <row r="808" spans="1:23" ht="12.6" x14ac:dyDescent="0.2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</row>
    <row r="809" spans="1:23" ht="12.6" x14ac:dyDescent="0.2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</row>
    <row r="810" spans="1:23" ht="12.6" x14ac:dyDescent="0.2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</row>
    <row r="811" spans="1:23" ht="12.6" x14ac:dyDescent="0.2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</row>
    <row r="812" spans="1:23" ht="12.6" x14ac:dyDescent="0.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</row>
    <row r="813" spans="1:23" ht="12.6" x14ac:dyDescent="0.2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</row>
    <row r="814" spans="1:23" ht="12.6" x14ac:dyDescent="0.2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</row>
    <row r="815" spans="1:23" ht="12.6" x14ac:dyDescent="0.2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</row>
    <row r="816" spans="1:23" ht="12.6" x14ac:dyDescent="0.2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</row>
    <row r="817" spans="1:23" ht="12.6" x14ac:dyDescent="0.2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</row>
    <row r="818" spans="1:23" ht="12.6" x14ac:dyDescent="0.2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</row>
    <row r="819" spans="1:23" ht="12.6" x14ac:dyDescent="0.2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</row>
    <row r="820" spans="1:23" ht="12.6" x14ac:dyDescent="0.2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</row>
    <row r="821" spans="1:23" ht="12.6" x14ac:dyDescent="0.2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</row>
    <row r="822" spans="1:23" ht="12.6" x14ac:dyDescent="0.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</row>
    <row r="823" spans="1:23" ht="12.6" x14ac:dyDescent="0.2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</row>
    <row r="824" spans="1:23" ht="12.6" x14ac:dyDescent="0.2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</row>
    <row r="825" spans="1:23" ht="12.6" x14ac:dyDescent="0.2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</row>
    <row r="826" spans="1:23" ht="12.6" x14ac:dyDescent="0.2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</row>
    <row r="827" spans="1:23" ht="12.6" x14ac:dyDescent="0.2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</row>
    <row r="828" spans="1:23" ht="12.6" x14ac:dyDescent="0.2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</row>
    <row r="829" spans="1:23" ht="12.6" x14ac:dyDescent="0.2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</row>
    <row r="830" spans="1:23" ht="12.6" x14ac:dyDescent="0.2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</row>
    <row r="831" spans="1:23" ht="12.6" x14ac:dyDescent="0.2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</row>
    <row r="832" spans="1:23" ht="12.6" x14ac:dyDescent="0.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</row>
    <row r="833" spans="1:23" ht="12.6" x14ac:dyDescent="0.2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</row>
    <row r="834" spans="1:23" ht="12.6" x14ac:dyDescent="0.2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</row>
    <row r="835" spans="1:23" ht="12.6" x14ac:dyDescent="0.2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</row>
    <row r="836" spans="1:23" ht="12.6" x14ac:dyDescent="0.2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</row>
    <row r="837" spans="1:23" ht="12.6" x14ac:dyDescent="0.2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</row>
    <row r="838" spans="1:23" ht="12.6" x14ac:dyDescent="0.2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</row>
    <row r="839" spans="1:23" ht="12.6" x14ac:dyDescent="0.2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</row>
    <row r="840" spans="1:23" ht="12.6" x14ac:dyDescent="0.2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</row>
    <row r="841" spans="1:23" ht="12.6" x14ac:dyDescent="0.2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</row>
    <row r="842" spans="1:23" ht="12.6" x14ac:dyDescent="0.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</row>
    <row r="843" spans="1:23" ht="12.6" x14ac:dyDescent="0.2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</row>
    <row r="844" spans="1:23" ht="12.6" x14ac:dyDescent="0.2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</row>
    <row r="845" spans="1:23" ht="12.6" x14ac:dyDescent="0.2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</row>
    <row r="846" spans="1:23" ht="12.6" x14ac:dyDescent="0.2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</row>
    <row r="847" spans="1:23" ht="12.6" x14ac:dyDescent="0.2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</row>
    <row r="848" spans="1:23" ht="12.6" x14ac:dyDescent="0.2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</row>
    <row r="849" spans="1:23" ht="12.6" x14ac:dyDescent="0.2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</row>
    <row r="850" spans="1:23" ht="12.6" x14ac:dyDescent="0.2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</row>
    <row r="851" spans="1:23" ht="12.6" x14ac:dyDescent="0.2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</row>
    <row r="852" spans="1:23" ht="12.6" x14ac:dyDescent="0.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</row>
    <row r="853" spans="1:23" ht="12.6" x14ac:dyDescent="0.2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</row>
    <row r="854" spans="1:23" ht="12.6" x14ac:dyDescent="0.2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</row>
    <row r="855" spans="1:23" ht="12.6" x14ac:dyDescent="0.2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</row>
    <row r="856" spans="1:23" ht="12.6" x14ac:dyDescent="0.2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</row>
    <row r="857" spans="1:23" ht="12.6" x14ac:dyDescent="0.2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</row>
    <row r="858" spans="1:23" ht="12.6" x14ac:dyDescent="0.2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</row>
    <row r="859" spans="1:23" ht="12.6" x14ac:dyDescent="0.2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</row>
    <row r="860" spans="1:23" ht="12.6" x14ac:dyDescent="0.2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</row>
    <row r="861" spans="1:23" ht="12.6" x14ac:dyDescent="0.2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</row>
    <row r="862" spans="1:23" ht="12.6" x14ac:dyDescent="0.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</row>
    <row r="863" spans="1:23" ht="12.6" x14ac:dyDescent="0.2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</row>
    <row r="864" spans="1:23" ht="12.6" x14ac:dyDescent="0.2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</row>
    <row r="865" spans="1:23" ht="12.6" x14ac:dyDescent="0.2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</row>
    <row r="866" spans="1:23" ht="12.6" x14ac:dyDescent="0.2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</row>
    <row r="867" spans="1:23" ht="12.6" x14ac:dyDescent="0.2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</row>
    <row r="868" spans="1:23" ht="12.6" x14ac:dyDescent="0.2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</row>
    <row r="869" spans="1:23" ht="12.6" x14ac:dyDescent="0.2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</row>
    <row r="870" spans="1:23" ht="12.6" x14ac:dyDescent="0.2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</row>
    <row r="871" spans="1:23" ht="12.6" x14ac:dyDescent="0.2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</row>
    <row r="872" spans="1:23" ht="12.6" x14ac:dyDescent="0.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</row>
    <row r="873" spans="1:23" ht="12.6" x14ac:dyDescent="0.2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</row>
    <row r="874" spans="1:23" ht="12.6" x14ac:dyDescent="0.2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</row>
    <row r="875" spans="1:23" ht="12.6" x14ac:dyDescent="0.2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</row>
    <row r="876" spans="1:23" ht="12.6" x14ac:dyDescent="0.2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</row>
    <row r="877" spans="1:23" ht="12.6" x14ac:dyDescent="0.2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</row>
    <row r="878" spans="1:23" ht="12.6" x14ac:dyDescent="0.2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</row>
    <row r="879" spans="1:23" ht="12.6" x14ac:dyDescent="0.2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</row>
    <row r="880" spans="1:23" ht="12.6" x14ac:dyDescent="0.2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</row>
    <row r="881" spans="1:23" ht="12.6" x14ac:dyDescent="0.2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</row>
    <row r="882" spans="1:23" ht="12.6" x14ac:dyDescent="0.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</row>
    <row r="883" spans="1:23" ht="12.6" x14ac:dyDescent="0.2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</row>
    <row r="884" spans="1:23" ht="12.6" x14ac:dyDescent="0.2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</row>
    <row r="885" spans="1:23" ht="12.6" x14ac:dyDescent="0.2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</row>
    <row r="886" spans="1:23" ht="12.6" x14ac:dyDescent="0.2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</row>
    <row r="887" spans="1:23" ht="12.6" x14ac:dyDescent="0.2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</row>
    <row r="888" spans="1:23" ht="12.6" x14ac:dyDescent="0.2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</row>
    <row r="889" spans="1:23" ht="12.6" x14ac:dyDescent="0.2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</row>
    <row r="890" spans="1:23" ht="12.6" x14ac:dyDescent="0.2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</row>
    <row r="891" spans="1:23" ht="12.6" x14ac:dyDescent="0.2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</row>
    <row r="892" spans="1:23" ht="12.6" x14ac:dyDescent="0.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</row>
    <row r="893" spans="1:23" ht="12.6" x14ac:dyDescent="0.2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</row>
    <row r="894" spans="1:23" ht="12.6" x14ac:dyDescent="0.2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</row>
    <row r="895" spans="1:23" ht="12.6" x14ac:dyDescent="0.2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</row>
    <row r="896" spans="1:23" ht="12.6" x14ac:dyDescent="0.2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</row>
    <row r="897" spans="1:23" ht="12.6" x14ac:dyDescent="0.2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</row>
    <row r="898" spans="1:23" ht="12.6" x14ac:dyDescent="0.2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</row>
    <row r="899" spans="1:23" ht="12.6" x14ac:dyDescent="0.2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</row>
    <row r="900" spans="1:23" ht="12.6" x14ac:dyDescent="0.2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</row>
    <row r="901" spans="1:23" ht="12.6" x14ac:dyDescent="0.2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</row>
    <row r="902" spans="1:23" ht="12.6" x14ac:dyDescent="0.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</row>
    <row r="903" spans="1:23" ht="12.6" x14ac:dyDescent="0.2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</row>
    <row r="904" spans="1:23" ht="12.6" x14ac:dyDescent="0.2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</row>
    <row r="905" spans="1:23" ht="12.6" x14ac:dyDescent="0.2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</row>
    <row r="906" spans="1:23" ht="12.6" x14ac:dyDescent="0.2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</row>
    <row r="907" spans="1:23" ht="12.6" x14ac:dyDescent="0.2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</row>
    <row r="908" spans="1:23" ht="12.6" x14ac:dyDescent="0.2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</row>
    <row r="909" spans="1:23" ht="12.6" x14ac:dyDescent="0.2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</row>
    <row r="910" spans="1:23" ht="12.6" x14ac:dyDescent="0.2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</row>
    <row r="911" spans="1:23" ht="12.6" x14ac:dyDescent="0.2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</row>
    <row r="912" spans="1:23" ht="12.6" x14ac:dyDescent="0.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</row>
    <row r="913" spans="1:23" ht="12.6" x14ac:dyDescent="0.2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</row>
    <row r="914" spans="1:23" ht="12.6" x14ac:dyDescent="0.2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</row>
    <row r="915" spans="1:23" ht="12.6" x14ac:dyDescent="0.2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</row>
    <row r="916" spans="1:23" ht="12.6" x14ac:dyDescent="0.2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</row>
    <row r="917" spans="1:23" ht="12.6" x14ac:dyDescent="0.2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</row>
    <row r="918" spans="1:23" ht="12.6" x14ac:dyDescent="0.2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</row>
    <row r="919" spans="1:23" ht="12.6" x14ac:dyDescent="0.2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</row>
    <row r="920" spans="1:23" ht="12.6" x14ac:dyDescent="0.2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</row>
    <row r="921" spans="1:23" ht="12.6" x14ac:dyDescent="0.2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</row>
    <row r="922" spans="1:23" ht="12.6" x14ac:dyDescent="0.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</row>
    <row r="923" spans="1:23" ht="12.6" x14ac:dyDescent="0.2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</row>
    <row r="924" spans="1:23" ht="12.6" x14ac:dyDescent="0.2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</row>
    <row r="925" spans="1:23" ht="12.6" x14ac:dyDescent="0.2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</row>
    <row r="926" spans="1:23" ht="12.6" x14ac:dyDescent="0.2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</row>
    <row r="927" spans="1:23" ht="12.6" x14ac:dyDescent="0.2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</row>
    <row r="928" spans="1:23" ht="12.6" x14ac:dyDescent="0.2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</row>
    <row r="929" spans="1:23" ht="12.6" x14ac:dyDescent="0.2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</row>
    <row r="930" spans="1:23" ht="12.6" x14ac:dyDescent="0.2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</row>
    <row r="931" spans="1:23" ht="12.6" x14ac:dyDescent="0.2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</row>
    <row r="932" spans="1:23" ht="12.6" x14ac:dyDescent="0.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</row>
    <row r="933" spans="1:23" ht="12.6" x14ac:dyDescent="0.2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</row>
    <row r="934" spans="1:23" ht="12.6" x14ac:dyDescent="0.2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</row>
    <row r="935" spans="1:23" ht="12.6" x14ac:dyDescent="0.2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</row>
    <row r="936" spans="1:23" ht="12.6" x14ac:dyDescent="0.2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</row>
    <row r="937" spans="1:23" ht="12.6" x14ac:dyDescent="0.2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</row>
    <row r="938" spans="1:23" ht="12.6" x14ac:dyDescent="0.2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</row>
    <row r="939" spans="1:23" ht="12.6" x14ac:dyDescent="0.2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</row>
    <row r="940" spans="1:23" ht="12.6" x14ac:dyDescent="0.2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</row>
    <row r="941" spans="1:23" ht="12.6" x14ac:dyDescent="0.2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</row>
    <row r="942" spans="1:23" ht="12.6" x14ac:dyDescent="0.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</row>
    <row r="943" spans="1:23" ht="12.6" x14ac:dyDescent="0.2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</row>
    <row r="944" spans="1:23" ht="12.6" x14ac:dyDescent="0.2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</row>
    <row r="945" spans="1:23" ht="12.6" x14ac:dyDescent="0.2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</row>
    <row r="946" spans="1:23" ht="12.6" x14ac:dyDescent="0.2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</row>
    <row r="947" spans="1:23" ht="12.6" x14ac:dyDescent="0.2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</row>
    <row r="948" spans="1:23" ht="12.6" x14ac:dyDescent="0.2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</row>
    <row r="949" spans="1:23" ht="12.6" x14ac:dyDescent="0.2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</row>
    <row r="950" spans="1:23" ht="12.6" x14ac:dyDescent="0.2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</row>
    <row r="951" spans="1:23" ht="12.6" x14ac:dyDescent="0.2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</row>
    <row r="952" spans="1:23" ht="12.6" x14ac:dyDescent="0.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</row>
    <row r="953" spans="1:23" ht="12.6" x14ac:dyDescent="0.2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</row>
    <row r="954" spans="1:23" ht="12.6" x14ac:dyDescent="0.2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</row>
    <row r="955" spans="1:23" ht="12.6" x14ac:dyDescent="0.2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</row>
    <row r="956" spans="1:23" ht="12.6" x14ac:dyDescent="0.2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</row>
    <row r="957" spans="1:23" ht="12.6" x14ac:dyDescent="0.2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</row>
    <row r="958" spans="1:23" ht="12.6" x14ac:dyDescent="0.2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</row>
    <row r="959" spans="1:23" ht="12.6" x14ac:dyDescent="0.2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</row>
    <row r="960" spans="1:23" ht="12.6" x14ac:dyDescent="0.2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</row>
    <row r="961" spans="1:23" ht="12.6" x14ac:dyDescent="0.2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</row>
    <row r="962" spans="1:23" ht="12.6" x14ac:dyDescent="0.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</row>
    <row r="963" spans="1:23" ht="12.6" x14ac:dyDescent="0.2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</row>
    <row r="964" spans="1:23" ht="12.6" x14ac:dyDescent="0.2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</row>
    <row r="965" spans="1:23" ht="12.6" x14ac:dyDescent="0.2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</row>
    <row r="966" spans="1:23" ht="12.6" x14ac:dyDescent="0.2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</row>
    <row r="967" spans="1:23" ht="12.6" x14ac:dyDescent="0.2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</row>
    <row r="968" spans="1:23" ht="12.6" x14ac:dyDescent="0.2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</row>
    <row r="969" spans="1:23" ht="12.6" x14ac:dyDescent="0.2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</row>
    <row r="970" spans="1:23" ht="12.6" x14ac:dyDescent="0.2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</row>
    <row r="971" spans="1:23" ht="12.6" x14ac:dyDescent="0.2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</row>
    <row r="972" spans="1:23" ht="12.6" x14ac:dyDescent="0.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</row>
    <row r="973" spans="1:23" ht="12.6" x14ac:dyDescent="0.2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</row>
    <row r="974" spans="1:23" ht="12.6" x14ac:dyDescent="0.2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</row>
    <row r="975" spans="1:23" ht="12.6" x14ac:dyDescent="0.2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</row>
    <row r="976" spans="1:23" ht="12.6" x14ac:dyDescent="0.2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</row>
    <row r="977" spans="1:23" ht="12.6" x14ac:dyDescent="0.2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</row>
    <row r="978" spans="1:23" ht="12.6" x14ac:dyDescent="0.2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</row>
    <row r="979" spans="1:23" ht="12.6" x14ac:dyDescent="0.2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</row>
    <row r="980" spans="1:23" ht="12.6" x14ac:dyDescent="0.2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</row>
    <row r="981" spans="1:23" ht="12.6" x14ac:dyDescent="0.2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</row>
    <row r="982" spans="1:23" ht="12.6" x14ac:dyDescent="0.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</row>
    <row r="983" spans="1:23" ht="12.6" x14ac:dyDescent="0.2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</row>
    <row r="984" spans="1:23" ht="12.6" x14ac:dyDescent="0.2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</row>
    <row r="985" spans="1:23" ht="12.6" x14ac:dyDescent="0.2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</row>
    <row r="986" spans="1:23" ht="12.6" x14ac:dyDescent="0.2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</row>
    <row r="987" spans="1:23" ht="12.6" x14ac:dyDescent="0.2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</row>
    <row r="988" spans="1:23" ht="12.6" x14ac:dyDescent="0.2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</row>
    <row r="989" spans="1:23" ht="12.6" x14ac:dyDescent="0.2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</row>
    <row r="990" spans="1:23" ht="12.6" x14ac:dyDescent="0.2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</row>
    <row r="991" spans="1:23" ht="12.6" x14ac:dyDescent="0.2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</row>
    <row r="992" spans="1:23" ht="12.6" x14ac:dyDescent="0.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</row>
    <row r="993" spans="1:23" ht="12.6" x14ac:dyDescent="0.2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</row>
    <row r="994" spans="1:23" ht="12.6" x14ac:dyDescent="0.2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</row>
    <row r="995" spans="1:23" ht="12.6" x14ac:dyDescent="0.2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</row>
    <row r="996" spans="1:23" ht="12.6" x14ac:dyDescent="0.2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</row>
    <row r="997" spans="1:23" ht="12.6" x14ac:dyDescent="0.2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</row>
    <row r="998" spans="1:23" ht="12.6" x14ac:dyDescent="0.2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</row>
    <row r="999" spans="1:23" ht="12.6" x14ac:dyDescent="0.2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</row>
    <row r="1000" spans="1:23" ht="12.6" x14ac:dyDescent="0.2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</row>
    <row r="1001" spans="1:23" ht="12.6" x14ac:dyDescent="0.2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</row>
    <row r="1002" spans="1:23" ht="12.6" x14ac:dyDescent="0.2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</row>
    <row r="1003" spans="1:23" ht="12.6" x14ac:dyDescent="0.2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</row>
    <row r="1004" spans="1:23" ht="12.6" x14ac:dyDescent="0.2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</row>
    <row r="1005" spans="1:23" ht="12.6" x14ac:dyDescent="0.2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</row>
    <row r="1006" spans="1:23" ht="12.6" x14ac:dyDescent="0.2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</row>
    <row r="1007" spans="1:23" ht="12.6" x14ac:dyDescent="0.2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</row>
    <row r="1008" spans="1:23" ht="12.6" x14ac:dyDescent="0.2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</row>
    <row r="1009" spans="1:23" ht="12.6" x14ac:dyDescent="0.2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</row>
    <row r="1010" spans="1:23" ht="12.6" x14ac:dyDescent="0.2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</row>
    <row r="1011" spans="1:23" ht="12.6" x14ac:dyDescent="0.2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</row>
    <row r="1012" spans="1:23" ht="12.6" x14ac:dyDescent="0.2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</row>
    <row r="1013" spans="1:23" ht="12.6" x14ac:dyDescent="0.2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</row>
    <row r="1014" spans="1:23" ht="12.6" x14ac:dyDescent="0.2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</row>
    <row r="1015" spans="1:23" ht="12.6" x14ac:dyDescent="0.2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</row>
    <row r="1016" spans="1:23" ht="12.6" x14ac:dyDescent="0.2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</row>
    <row r="1017" spans="1:23" ht="12.6" x14ac:dyDescent="0.2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</row>
    <row r="1018" spans="1:23" ht="12.6" x14ac:dyDescent="0.2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</row>
    <row r="1019" spans="1:23" ht="12.6" x14ac:dyDescent="0.2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</row>
    <row r="1020" spans="1:23" ht="12.6" x14ac:dyDescent="0.2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</row>
    <row r="1021" spans="1:23" ht="12.6" x14ac:dyDescent="0.2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</row>
    <row r="1022" spans="1:23" ht="12.6" x14ac:dyDescent="0.2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</row>
    <row r="1023" spans="1:23" ht="12.6" x14ac:dyDescent="0.2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</row>
    <row r="1024" spans="1:23" ht="12.6" x14ac:dyDescent="0.2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</row>
    <row r="1025" spans="1:23" ht="12.6" x14ac:dyDescent="0.2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</row>
    <row r="1026" spans="1:23" ht="12.6" x14ac:dyDescent="0.2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</row>
    <row r="1027" spans="1:23" ht="12.6" x14ac:dyDescent="0.2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</row>
    <row r="1028" spans="1:23" ht="12.6" x14ac:dyDescent="0.2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</row>
    <row r="1029" spans="1:23" ht="12.6" x14ac:dyDescent="0.2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</row>
    <row r="1030" spans="1:23" ht="12.6" x14ac:dyDescent="0.2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</row>
    <row r="1031" spans="1:23" ht="12.6" x14ac:dyDescent="0.2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</row>
    <row r="1032" spans="1:23" ht="12.6" x14ac:dyDescent="0.2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</row>
    <row r="1033" spans="1:23" ht="12.6" x14ac:dyDescent="0.2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</row>
    <row r="1034" spans="1:23" ht="12.6" x14ac:dyDescent="0.2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</row>
    <row r="1035" spans="1:23" ht="12.6" x14ac:dyDescent="0.2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</row>
    <row r="1036" spans="1:23" ht="12.6" x14ac:dyDescent="0.2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</row>
    <row r="1037" spans="1:23" ht="12.6" x14ac:dyDescent="0.2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</row>
    <row r="1038" spans="1:23" ht="12.6" x14ac:dyDescent="0.2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</row>
    <row r="1039" spans="1:23" ht="12.6" x14ac:dyDescent="0.2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</row>
    <row r="1040" spans="1:23" ht="12.6" x14ac:dyDescent="0.2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</row>
    <row r="1041" spans="1:23" ht="12.6" x14ac:dyDescent="0.2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</row>
    <row r="1042" spans="1:23" ht="12.6" x14ac:dyDescent="0.2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</row>
    <row r="1043" spans="1:23" ht="12.6" x14ac:dyDescent="0.2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</row>
    <row r="1044" spans="1:23" ht="12.6" x14ac:dyDescent="0.2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</row>
    <row r="1045" spans="1:23" ht="12.6" x14ac:dyDescent="0.2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</row>
    <row r="1046" spans="1:23" ht="12.6" x14ac:dyDescent="0.2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</row>
    <row r="1047" spans="1:23" ht="12.6" x14ac:dyDescent="0.2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</row>
    <row r="1048" spans="1:23" ht="12.6" x14ac:dyDescent="0.2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</row>
    <row r="1049" spans="1:23" ht="12.6" x14ac:dyDescent="0.2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</row>
    <row r="1050" spans="1:23" ht="12.6" x14ac:dyDescent="0.2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</row>
    <row r="1051" spans="1:23" ht="12.6" x14ac:dyDescent="0.2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</row>
    <row r="1052" spans="1:23" ht="12.6" x14ac:dyDescent="0.2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</row>
    <row r="1053" spans="1:23" ht="12.6" x14ac:dyDescent="0.2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</row>
    <row r="1054" spans="1:23" ht="12.6" x14ac:dyDescent="0.2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</row>
    <row r="1055" spans="1:23" ht="12.6" x14ac:dyDescent="0.2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</row>
    <row r="1056" spans="1:23" ht="12.6" x14ac:dyDescent="0.2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</row>
    <row r="1057" spans="1:23" ht="12.6" x14ac:dyDescent="0.2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</row>
    <row r="1058" spans="1:23" ht="12.6" x14ac:dyDescent="0.2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</row>
    <row r="1059" spans="1:23" ht="12.6" x14ac:dyDescent="0.2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</row>
    <row r="1060" spans="1:23" ht="12.6" x14ac:dyDescent="0.2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</row>
    <row r="1061" spans="1:23" ht="12.6" x14ac:dyDescent="0.2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</row>
    <row r="1062" spans="1:23" ht="12.6" x14ac:dyDescent="0.2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</row>
    <row r="1063" spans="1:23" ht="12.6" x14ac:dyDescent="0.2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</row>
    <row r="1064" spans="1:23" ht="12.6" x14ac:dyDescent="0.2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</row>
    <row r="1065" spans="1:23" ht="12.6" x14ac:dyDescent="0.2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</row>
    <row r="1066" spans="1:23" ht="12.6" x14ac:dyDescent="0.2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</row>
    <row r="1067" spans="1:23" ht="12.6" x14ac:dyDescent="0.2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</row>
    <row r="1068" spans="1:23" ht="12.6" x14ac:dyDescent="0.2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</row>
    <row r="1069" spans="1:23" ht="12.6" x14ac:dyDescent="0.2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</row>
    <row r="1070" spans="1:23" ht="12.6" x14ac:dyDescent="0.2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</row>
    <row r="1071" spans="1:23" ht="12.6" x14ac:dyDescent="0.2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</row>
    <row r="1072" spans="1:23" ht="12.6" x14ac:dyDescent="0.2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</row>
    <row r="1073" spans="1:23" ht="12.6" x14ac:dyDescent="0.2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</row>
    <row r="1074" spans="1:23" ht="12.6" x14ac:dyDescent="0.2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</row>
    <row r="1075" spans="1:23" ht="12.6" x14ac:dyDescent="0.2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</row>
    <row r="1076" spans="1:23" ht="12.6" x14ac:dyDescent="0.2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</row>
    <row r="1077" spans="1:23" ht="12.6" x14ac:dyDescent="0.2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</row>
    <row r="1078" spans="1:23" ht="12.6" x14ac:dyDescent="0.2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</row>
    <row r="1079" spans="1:23" ht="12.6" x14ac:dyDescent="0.2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</row>
    <row r="1080" spans="1:23" ht="12.6" x14ac:dyDescent="0.2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</row>
    <row r="1081" spans="1:23" ht="12.6" x14ac:dyDescent="0.2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</row>
    <row r="1082" spans="1:23" ht="12.6" x14ac:dyDescent="0.2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</row>
    <row r="1083" spans="1:23" ht="12.6" x14ac:dyDescent="0.2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</row>
    <row r="1084" spans="1:23" ht="12.6" x14ac:dyDescent="0.2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</row>
    <row r="1085" spans="1:23" ht="12.6" x14ac:dyDescent="0.2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</row>
    <row r="1086" spans="1:23" ht="12.6" x14ac:dyDescent="0.2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</row>
    <row r="1087" spans="1:23" ht="12.6" x14ac:dyDescent="0.2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</row>
    <row r="1088" spans="1:23" ht="12.6" x14ac:dyDescent="0.2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</row>
    <row r="1089" spans="1:23" ht="12.6" x14ac:dyDescent="0.2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</row>
    <row r="1090" spans="1:23" ht="12.6" x14ac:dyDescent="0.2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</row>
    <row r="1091" spans="1:23" ht="12.6" x14ac:dyDescent="0.2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</row>
    <row r="1092" spans="1:23" ht="12.6" x14ac:dyDescent="0.2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</row>
    <row r="1093" spans="1:23" ht="12.6" x14ac:dyDescent="0.2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</row>
    <row r="1094" spans="1:23" ht="12.6" x14ac:dyDescent="0.2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</row>
    <row r="1095" spans="1:23" ht="12.6" x14ac:dyDescent="0.2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</row>
    <row r="1096" spans="1:23" ht="12.6" x14ac:dyDescent="0.2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</row>
    <row r="1097" spans="1:23" ht="12.6" x14ac:dyDescent="0.2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</row>
    <row r="1098" spans="1:23" ht="12.6" x14ac:dyDescent="0.2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</row>
    <row r="1099" spans="1:23" ht="12.6" x14ac:dyDescent="0.2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</row>
    <row r="1100" spans="1:23" ht="12.6" x14ac:dyDescent="0.2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</row>
    <row r="1101" spans="1:23" ht="12.6" x14ac:dyDescent="0.2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</row>
    <row r="1102" spans="1:23" ht="12.6" x14ac:dyDescent="0.2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</row>
    <row r="1103" spans="1:23" ht="12.6" x14ac:dyDescent="0.2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</row>
    <row r="1104" spans="1:23" ht="12.6" x14ac:dyDescent="0.2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</row>
    <row r="1105" spans="1:23" ht="12.6" x14ac:dyDescent="0.2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</row>
    <row r="1106" spans="1:23" ht="12.6" x14ac:dyDescent="0.2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</row>
    <row r="1107" spans="1:23" ht="12.6" x14ac:dyDescent="0.2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</row>
    <row r="1108" spans="1:23" ht="12.6" x14ac:dyDescent="0.2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</row>
    <row r="1109" spans="1:23" ht="12.6" x14ac:dyDescent="0.2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</row>
    <row r="1110" spans="1:23" ht="12.6" x14ac:dyDescent="0.2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</row>
    <row r="1111" spans="1:23" ht="12.6" x14ac:dyDescent="0.2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</row>
    <row r="1112" spans="1:23" ht="12.6" x14ac:dyDescent="0.2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</row>
    <row r="1113" spans="1:23" ht="12.6" x14ac:dyDescent="0.2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</row>
    <row r="1114" spans="1:23" ht="12.6" x14ac:dyDescent="0.2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</row>
    <row r="1115" spans="1:23" ht="12.6" x14ac:dyDescent="0.2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</row>
    <row r="1116" spans="1:23" ht="12.6" x14ac:dyDescent="0.2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</row>
    <row r="1117" spans="1:23" ht="12.6" x14ac:dyDescent="0.2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</row>
    <row r="1118" spans="1:23" ht="12.6" x14ac:dyDescent="0.2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</row>
    <row r="1119" spans="1:23" ht="12.6" x14ac:dyDescent="0.2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</row>
    <row r="1120" spans="1:23" ht="12.6" x14ac:dyDescent="0.2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</row>
    <row r="1121" spans="1:23" ht="12.6" x14ac:dyDescent="0.2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</row>
    <row r="1122" spans="1:23" ht="12.6" x14ac:dyDescent="0.2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</row>
    <row r="1123" spans="1:23" ht="12.6" x14ac:dyDescent="0.2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</row>
    <row r="1124" spans="1:23" ht="12.6" x14ac:dyDescent="0.2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</row>
    <row r="1125" spans="1:23" ht="12.6" x14ac:dyDescent="0.2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</row>
    <row r="1126" spans="1:23" ht="12.6" x14ac:dyDescent="0.2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</row>
    <row r="1127" spans="1:23" ht="12.6" x14ac:dyDescent="0.2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</row>
    <row r="1128" spans="1:23" ht="12.6" x14ac:dyDescent="0.2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</row>
    <row r="1129" spans="1:23" ht="12.6" x14ac:dyDescent="0.2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</row>
    <row r="1130" spans="1:23" ht="12.6" x14ac:dyDescent="0.2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</row>
    <row r="1131" spans="1:23" ht="12.6" x14ac:dyDescent="0.2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</row>
    <row r="1132" spans="1:23" ht="12.6" x14ac:dyDescent="0.2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</row>
    <row r="1133" spans="1:23" ht="12.6" x14ac:dyDescent="0.2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</row>
    <row r="1134" spans="1:23" ht="12.6" x14ac:dyDescent="0.2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</row>
    <row r="1135" spans="1:23" ht="12.6" x14ac:dyDescent="0.2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</row>
    <row r="1136" spans="1:23" ht="12.6" x14ac:dyDescent="0.2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</row>
    <row r="1137" spans="1:23" ht="12.6" x14ac:dyDescent="0.2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</row>
    <row r="1138" spans="1:23" ht="12.6" x14ac:dyDescent="0.2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</row>
    <row r="1139" spans="1:23" ht="12.6" x14ac:dyDescent="0.2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</row>
    <row r="1140" spans="1:23" ht="12.6" x14ac:dyDescent="0.2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</row>
    <row r="1141" spans="1:23" ht="12.6" x14ac:dyDescent="0.2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</row>
    <row r="1142" spans="1:23" ht="12.6" x14ac:dyDescent="0.2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</row>
    <row r="1143" spans="1:23" ht="12.6" x14ac:dyDescent="0.2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</row>
    <row r="1144" spans="1:23" ht="12.6" x14ac:dyDescent="0.2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</row>
    <row r="1145" spans="1:23" ht="12.6" x14ac:dyDescent="0.2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</row>
    <row r="1146" spans="1:23" ht="12.6" x14ac:dyDescent="0.2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</row>
    <row r="1147" spans="1:23" ht="12.6" x14ac:dyDescent="0.2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</row>
    <row r="1148" spans="1:23" ht="12.6" x14ac:dyDescent="0.2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</row>
    <row r="1149" spans="1:23" ht="12.6" x14ac:dyDescent="0.2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</row>
    <row r="1150" spans="1:23" ht="12.6" x14ac:dyDescent="0.2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</row>
    <row r="1151" spans="1:23" ht="12.6" x14ac:dyDescent="0.2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</row>
    <row r="1152" spans="1:23" ht="12.6" x14ac:dyDescent="0.2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</row>
    <row r="1153" spans="1:23" ht="12.6" x14ac:dyDescent="0.2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</row>
    <row r="1154" spans="1:23" ht="12.6" x14ac:dyDescent="0.2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</row>
    <row r="1155" spans="1:23" ht="12.6" x14ac:dyDescent="0.2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</row>
    <row r="1156" spans="1:23" ht="12.6" x14ac:dyDescent="0.2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</row>
    <row r="1157" spans="1:23" ht="12.6" x14ac:dyDescent="0.2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</row>
    <row r="1158" spans="1:23" ht="12.6" x14ac:dyDescent="0.2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</row>
    <row r="1159" spans="1:23" ht="12.6" x14ac:dyDescent="0.2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</row>
    <row r="1160" spans="1:23" ht="12.6" x14ac:dyDescent="0.2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</row>
    <row r="1161" spans="1:23" ht="12.6" x14ac:dyDescent="0.2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</row>
    <row r="1162" spans="1:23" ht="12.6" x14ac:dyDescent="0.2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</row>
    <row r="1163" spans="1:23" ht="12.6" x14ac:dyDescent="0.2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</row>
    <row r="1164" spans="1:23" ht="12.6" x14ac:dyDescent="0.2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</row>
    <row r="1165" spans="1:23" ht="12.6" x14ac:dyDescent="0.2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</row>
    <row r="1166" spans="1:23" ht="12.6" x14ac:dyDescent="0.2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</row>
    <row r="1167" spans="1:23" ht="12.6" x14ac:dyDescent="0.2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</row>
    <row r="1168" spans="1:23" ht="12.6" x14ac:dyDescent="0.2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</row>
    <row r="1169" spans="1:23" ht="12.6" x14ac:dyDescent="0.2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</row>
    <row r="1170" spans="1:23" ht="12.6" x14ac:dyDescent="0.2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</row>
    <row r="1171" spans="1:23" ht="12.6" x14ac:dyDescent="0.2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</row>
    <row r="1172" spans="1:23" ht="12.6" x14ac:dyDescent="0.2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</row>
    <row r="1173" spans="1:23" ht="12.6" x14ac:dyDescent="0.2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</row>
    <row r="1174" spans="1:23" ht="12.6" x14ac:dyDescent="0.2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</row>
    <row r="1175" spans="1:23" ht="12.6" x14ac:dyDescent="0.2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</row>
    <row r="1176" spans="1:23" ht="12.6" x14ac:dyDescent="0.2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</row>
    <row r="1177" spans="1:23" ht="12.6" x14ac:dyDescent="0.2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</row>
    <row r="1178" spans="1:23" ht="12.6" x14ac:dyDescent="0.2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</row>
    <row r="1179" spans="1:23" ht="12.6" x14ac:dyDescent="0.2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</row>
    <row r="1180" spans="1:23" ht="12.6" x14ac:dyDescent="0.2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</row>
    <row r="1181" spans="1:23" ht="12.6" x14ac:dyDescent="0.2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</row>
    <row r="1182" spans="1:23" ht="12.6" x14ac:dyDescent="0.2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</row>
    <row r="1183" spans="1:23" ht="12.6" x14ac:dyDescent="0.2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</row>
    <row r="1184" spans="1:23" ht="12.6" x14ac:dyDescent="0.2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</row>
    <row r="1185" spans="1:23" ht="12.6" x14ac:dyDescent="0.2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</row>
    <row r="1186" spans="1:23" ht="12.6" x14ac:dyDescent="0.2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</row>
    <row r="1187" spans="1:23" ht="12.6" x14ac:dyDescent="0.2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</row>
    <row r="1188" spans="1:23" ht="12.6" x14ac:dyDescent="0.2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</row>
    <row r="1189" spans="1:23" ht="12.6" x14ac:dyDescent="0.2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</row>
    <row r="1190" spans="1:23" ht="12.6" x14ac:dyDescent="0.2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</row>
    <row r="1191" spans="1:23" ht="12.6" x14ac:dyDescent="0.2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</row>
    <row r="1192" spans="1:23" ht="12.6" x14ac:dyDescent="0.2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</row>
    <row r="1193" spans="1:23" ht="12.6" x14ac:dyDescent="0.2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</row>
    <row r="1194" spans="1:23" ht="12.6" x14ac:dyDescent="0.2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</row>
    <row r="1195" spans="1:23" ht="12.6" x14ac:dyDescent="0.2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</row>
    <row r="1196" spans="1:23" ht="12.6" x14ac:dyDescent="0.2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</row>
    <row r="1197" spans="1:23" ht="12.6" x14ac:dyDescent="0.2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</row>
    <row r="1198" spans="1:23" ht="12.6" x14ac:dyDescent="0.2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</row>
    <row r="1199" spans="1:23" ht="12.6" x14ac:dyDescent="0.2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</row>
    <row r="1200" spans="1:23" ht="12.6" x14ac:dyDescent="0.2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</row>
    <row r="1201" spans="1:23" ht="12.6" x14ac:dyDescent="0.2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</row>
    <row r="1202" spans="1:23" ht="12.6" x14ac:dyDescent="0.2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</row>
    <row r="1203" spans="1:23" ht="12.6" x14ac:dyDescent="0.2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</row>
    <row r="1204" spans="1:23" ht="12.6" x14ac:dyDescent="0.2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</row>
    <row r="1205" spans="1:23" ht="12.6" x14ac:dyDescent="0.2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</row>
    <row r="1206" spans="1:23" ht="12.6" x14ac:dyDescent="0.2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</row>
    <row r="1207" spans="1:23" ht="12.6" x14ac:dyDescent="0.2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</row>
    <row r="1208" spans="1:23" ht="12.6" x14ac:dyDescent="0.2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</row>
    <row r="1209" spans="1:23" ht="12.6" x14ac:dyDescent="0.2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</row>
    <row r="1210" spans="1:23" ht="12.6" x14ac:dyDescent="0.2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</row>
    <row r="1211" spans="1:23" ht="12.6" x14ac:dyDescent="0.2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</row>
    <row r="1212" spans="1:23" ht="12.6" x14ac:dyDescent="0.2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</row>
    <row r="1213" spans="1:23" ht="12.6" x14ac:dyDescent="0.2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</row>
    <row r="1214" spans="1:23" ht="12.6" x14ac:dyDescent="0.2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</row>
    <row r="1215" spans="1:23" ht="12.6" x14ac:dyDescent="0.2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</row>
    <row r="1216" spans="1:23" ht="12.6" x14ac:dyDescent="0.2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</row>
    <row r="1217" spans="1:23" ht="12.6" x14ac:dyDescent="0.2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</row>
    <row r="1218" spans="1:23" ht="12.6" x14ac:dyDescent="0.2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</row>
    <row r="1219" spans="1:23" ht="12.6" x14ac:dyDescent="0.2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</row>
    <row r="1220" spans="1:23" ht="12.6" x14ac:dyDescent="0.2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</row>
    <row r="1221" spans="1:23" ht="12.6" x14ac:dyDescent="0.2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</row>
    <row r="1222" spans="1:23" ht="12.6" x14ac:dyDescent="0.2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</row>
    <row r="1223" spans="1:23" ht="12.6" x14ac:dyDescent="0.2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</row>
    <row r="1224" spans="1:23" ht="12.6" x14ac:dyDescent="0.2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</row>
    <row r="1225" spans="1:23" ht="12.6" x14ac:dyDescent="0.2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</row>
    <row r="1226" spans="1:23" ht="12.6" x14ac:dyDescent="0.2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</row>
    <row r="1227" spans="1:23" ht="12.6" x14ac:dyDescent="0.2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</row>
    <row r="1228" spans="1:23" ht="12.6" x14ac:dyDescent="0.2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</row>
    <row r="1229" spans="1:23" ht="12.6" x14ac:dyDescent="0.2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</row>
    <row r="1230" spans="1:23" ht="12.6" x14ac:dyDescent="0.2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</row>
    <row r="1231" spans="1:23" ht="12.6" x14ac:dyDescent="0.2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</row>
    <row r="1232" spans="1:23" ht="12.6" x14ac:dyDescent="0.2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</row>
    <row r="1233" spans="1:23" ht="12.6" x14ac:dyDescent="0.2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</row>
    <row r="1234" spans="1:23" ht="12.6" x14ac:dyDescent="0.2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</row>
    <row r="1235" spans="1:23" ht="12.6" x14ac:dyDescent="0.2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</row>
    <row r="1236" spans="1:23" ht="12.6" x14ac:dyDescent="0.2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</row>
    <row r="1237" spans="1:23" ht="12.6" x14ac:dyDescent="0.2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</row>
    <row r="1238" spans="1:23" ht="12.6" x14ac:dyDescent="0.2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</row>
    <row r="1239" spans="1:23" ht="12.6" x14ac:dyDescent="0.2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</row>
    <row r="1240" spans="1:23" ht="12.6" x14ac:dyDescent="0.2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</row>
    <row r="1241" spans="1:23" ht="12.6" x14ac:dyDescent="0.2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</row>
    <row r="1242" spans="1:23" ht="12.6" x14ac:dyDescent="0.2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</row>
    <row r="1243" spans="1:23" ht="12.6" x14ac:dyDescent="0.2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</row>
    <row r="1244" spans="1:23" ht="12.6" x14ac:dyDescent="0.2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</row>
    <row r="1245" spans="1:23" ht="12.6" x14ac:dyDescent="0.2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</row>
    <row r="1246" spans="1:23" ht="12.6" x14ac:dyDescent="0.2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</row>
    <row r="1247" spans="1:23" ht="12.6" x14ac:dyDescent="0.2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</row>
    <row r="1248" spans="1:23" ht="12.6" x14ac:dyDescent="0.2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</row>
    <row r="1249" spans="1:23" ht="12.6" x14ac:dyDescent="0.2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</row>
    <row r="1250" spans="1:23" ht="12.6" x14ac:dyDescent="0.2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</row>
    <row r="1251" spans="1:23" ht="12.6" x14ac:dyDescent="0.2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</row>
    <row r="1252" spans="1:23" ht="12.6" x14ac:dyDescent="0.2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</row>
    <row r="1253" spans="1:23" ht="12.6" x14ac:dyDescent="0.2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</row>
    <row r="1254" spans="1:23" ht="12.6" x14ac:dyDescent="0.2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</row>
    <row r="1255" spans="1:23" ht="12.6" x14ac:dyDescent="0.2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</row>
    <row r="1256" spans="1:23" ht="12.6" x14ac:dyDescent="0.2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</row>
    <row r="1257" spans="1:23" ht="12.6" x14ac:dyDescent="0.2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</row>
    <row r="1258" spans="1:23" ht="12.6" x14ac:dyDescent="0.2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</row>
    <row r="1259" spans="1:23" ht="12.6" x14ac:dyDescent="0.2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</row>
    <row r="1260" spans="1:23" ht="12.6" x14ac:dyDescent="0.2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</row>
    <row r="1261" spans="1:23" ht="12.6" x14ac:dyDescent="0.2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</row>
    <row r="1262" spans="1:23" ht="12.6" x14ac:dyDescent="0.2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</row>
    <row r="1263" spans="1:23" ht="12.6" x14ac:dyDescent="0.2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</row>
    <row r="1264" spans="1:23" ht="12.6" x14ac:dyDescent="0.2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</row>
    <row r="1265" spans="1:23" ht="12.6" x14ac:dyDescent="0.2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</row>
    <row r="1266" spans="1:23" ht="12.6" x14ac:dyDescent="0.2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</row>
    <row r="1267" spans="1:23" ht="12.6" x14ac:dyDescent="0.2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</row>
    <row r="1268" spans="1:23" ht="12.6" x14ac:dyDescent="0.2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</row>
  </sheetData>
  <mergeCells count="1">
    <mergeCell ref="A1:W2"/>
  </mergeCells>
  <phoneticPr fontId="2" type="noConversion"/>
  <conditionalFormatting sqref="A87:W87 A8:A68 A4 A70:A77 B8:W86">
    <cfRule type="cellIs" dxfId="8" priority="1" stopIfTrue="1" operator="greaterThan">
      <formula>$A$2&gt;1</formula>
    </cfRule>
  </conditionalFormatting>
  <conditionalFormatting sqref="A86 A78 A69">
    <cfRule type="cellIs" dxfId="7" priority="2" stopIfTrue="1" operator="greaterThan">
      <formula>#REF!&gt;1</formula>
    </cfRule>
  </conditionalFormatting>
  <dataValidations xWindow="323" yWindow="287" count="1">
    <dataValidation type="textLength" errorStyle="warning" allowBlank="1" showErrorMessage="1" errorTitle="A T E N Ç Ã O" error="Esta céllula contem fórmula que será automaticamente recalculadas, quando as demais células foram alteradas." promptTitle="ESTAS CÉLULAS CONTÉM FÓRMULAS" sqref="A8 A4" xr:uid="{00000000-0002-0000-0600-000000000000}">
      <formula1>0</formula1>
      <formula2>0</formula2>
    </dataValidation>
  </dataValidations>
  <pageMargins left="0.98425196850393704" right="0.39370078740157483" top="0.78740157480314965" bottom="0.98425196850393704" header="0.39370078740157483" footer="0.39370078740157483"/>
  <pageSetup paperSize="9" scale="59" fitToHeight="2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P65"/>
  <sheetViews>
    <sheetView workbookViewId="0">
      <selection sqref="A1:G1"/>
    </sheetView>
  </sheetViews>
  <sheetFormatPr defaultColWidth="9.109375" defaultRowHeight="12.6" x14ac:dyDescent="0.2"/>
  <cols>
    <col min="1" max="1" width="9.109375" style="10"/>
    <col min="2" max="2" width="10" style="10" bestFit="1" customWidth="1"/>
    <col min="3" max="3" width="14.33203125" style="10" customWidth="1"/>
    <col min="4" max="4" width="51.6640625" style="10" customWidth="1"/>
    <col min="5" max="5" width="3" style="10" customWidth="1"/>
    <col min="6" max="6" width="19.6640625" style="10" bestFit="1" customWidth="1"/>
    <col min="7" max="7" width="4.33203125" style="10" hidden="1" customWidth="1"/>
    <col min="8" max="8" width="12.5546875" style="10" hidden="1" customWidth="1"/>
    <col min="9" max="9" width="14.33203125" style="10" hidden="1" customWidth="1"/>
    <col min="10" max="10" width="15.6640625" style="10" hidden="1" customWidth="1"/>
    <col min="11" max="11" width="10.5546875" style="10" bestFit="1" customWidth="1"/>
    <col min="12" max="12" width="18" style="10" bestFit="1" customWidth="1"/>
    <col min="13" max="13" width="14.44140625" style="10" customWidth="1"/>
    <col min="14" max="14" width="9.5546875" style="10" customWidth="1"/>
    <col min="15" max="16384" width="9.109375" style="10"/>
  </cols>
  <sheetData>
    <row r="1" spans="1:16" ht="30" customHeight="1" x14ac:dyDescent="0.3">
      <c r="A1" s="373" t="s">
        <v>143</v>
      </c>
      <c r="B1" s="374"/>
      <c r="C1" s="374"/>
      <c r="D1" s="374"/>
      <c r="E1" s="374"/>
      <c r="F1" s="375"/>
      <c r="G1" s="71"/>
      <c r="H1" s="72"/>
      <c r="I1" s="72"/>
      <c r="J1" s="73"/>
    </row>
    <row r="2" spans="1:16" ht="24.75" customHeight="1" x14ac:dyDescent="0.3">
      <c r="A2" s="376"/>
      <c r="B2" s="377"/>
      <c r="C2" s="377"/>
      <c r="D2" s="377"/>
      <c r="E2" s="377"/>
      <c r="F2" s="378"/>
      <c r="G2" s="320"/>
      <c r="H2" s="321"/>
      <c r="I2" s="321"/>
      <c r="J2" s="321"/>
    </row>
    <row r="3" spans="1:16" x14ac:dyDescent="0.2">
      <c r="A3" s="101"/>
      <c r="B3" s="74"/>
      <c r="C3" s="74"/>
      <c r="D3" s="74"/>
      <c r="E3" s="74"/>
      <c r="F3" s="102"/>
      <c r="G3" s="74"/>
      <c r="H3" s="74"/>
      <c r="I3" s="74"/>
      <c r="J3" s="74"/>
    </row>
    <row r="4" spans="1:16" x14ac:dyDescent="0.2">
      <c r="A4" s="103"/>
      <c r="B4" s="46"/>
      <c r="C4" s="46"/>
      <c r="D4" s="46"/>
      <c r="E4" s="46"/>
      <c r="F4" s="104"/>
      <c r="G4" s="46"/>
      <c r="H4" s="46"/>
      <c r="I4" s="46"/>
      <c r="J4" s="46"/>
      <c r="K4" s="46"/>
      <c r="L4" s="46"/>
      <c r="M4" s="46"/>
      <c r="N4" s="75"/>
      <c r="O4" s="75"/>
      <c r="P4" s="75"/>
    </row>
    <row r="5" spans="1:16" x14ac:dyDescent="0.2">
      <c r="A5" s="103"/>
      <c r="B5" s="46"/>
      <c r="C5" s="46"/>
      <c r="D5" s="46"/>
      <c r="E5" s="46"/>
      <c r="F5" s="104"/>
      <c r="G5" s="46"/>
      <c r="H5" s="46"/>
      <c r="I5" s="46"/>
      <c r="J5" s="46"/>
      <c r="K5" s="46"/>
      <c r="L5" s="46"/>
      <c r="M5" s="46"/>
      <c r="N5" s="75"/>
      <c r="O5" s="75"/>
      <c r="P5" s="75"/>
    </row>
    <row r="6" spans="1:16" ht="13.2" thickBot="1" x14ac:dyDescent="0.25">
      <c r="A6" s="101"/>
      <c r="B6" s="74"/>
      <c r="C6" s="74"/>
      <c r="D6" s="74"/>
      <c r="E6" s="74"/>
      <c r="F6" s="102"/>
      <c r="G6" s="74"/>
      <c r="H6" s="74"/>
      <c r="I6" s="74"/>
      <c r="J6" s="74"/>
    </row>
    <row r="7" spans="1:16" ht="14.25" customHeight="1" x14ac:dyDescent="0.2">
      <c r="A7" s="379" t="s">
        <v>144</v>
      </c>
      <c r="B7" s="380"/>
      <c r="C7" s="380"/>
      <c r="D7" s="380"/>
      <c r="E7" s="380"/>
      <c r="F7" s="381"/>
      <c r="G7" s="76"/>
      <c r="H7" s="77"/>
      <c r="I7" s="77"/>
      <c r="J7" s="78"/>
    </row>
    <row r="8" spans="1:16" ht="35.25" customHeight="1" x14ac:dyDescent="0.2">
      <c r="A8" s="382" t="s">
        <v>58</v>
      </c>
      <c r="B8" s="382"/>
      <c r="C8" s="382"/>
      <c r="D8" s="383"/>
      <c r="E8" s="79"/>
      <c r="F8" s="14" t="s">
        <v>64</v>
      </c>
      <c r="G8" s="80"/>
      <c r="H8" s="81" t="s">
        <v>81</v>
      </c>
      <c r="I8" s="80" t="s">
        <v>0</v>
      </c>
      <c r="J8" s="14" t="s">
        <v>82</v>
      </c>
    </row>
    <row r="9" spans="1:16" x14ac:dyDescent="0.2">
      <c r="A9" s="111" t="e">
        <f>#REF!</f>
        <v>#REF!</v>
      </c>
      <c r="B9" s="82"/>
      <c r="C9" s="82"/>
      <c r="D9" s="82"/>
      <c r="E9" s="83"/>
      <c r="F9" s="84" t="e">
        <f>#REF!</f>
        <v>#REF!</v>
      </c>
      <c r="G9" s="84"/>
      <c r="H9" s="85" t="s">
        <v>1</v>
      </c>
      <c r="I9" s="86" t="e">
        <f>fgts</f>
        <v>#REF!</v>
      </c>
      <c r="J9" s="87" t="e">
        <f>IF(F9&lt;&gt;"",IF(H9="S",F9*I9,""),"")</f>
        <v>#REF!</v>
      </c>
    </row>
    <row r="10" spans="1:16" x14ac:dyDescent="0.2">
      <c r="A10" s="111" t="e">
        <f>#REF!</f>
        <v>#REF!</v>
      </c>
      <c r="B10" s="82"/>
      <c r="C10" s="82"/>
      <c r="D10" s="82"/>
      <c r="E10" s="83"/>
      <c r="F10" s="84" t="e">
        <f>#REF!</f>
        <v>#REF!</v>
      </c>
      <c r="G10" s="84"/>
      <c r="H10" s="85"/>
      <c r="I10" s="86"/>
      <c r="J10" s="87"/>
    </row>
    <row r="11" spans="1:16" x14ac:dyDescent="0.2">
      <c r="A11" s="111" t="e">
        <f>#REF!</f>
        <v>#REF!</v>
      </c>
      <c r="B11" s="82"/>
      <c r="C11" s="82"/>
      <c r="D11" s="82"/>
      <c r="E11" s="83"/>
      <c r="F11" s="84" t="e">
        <f>#REF!</f>
        <v>#REF!</v>
      </c>
      <c r="G11" s="84"/>
      <c r="H11" s="85"/>
      <c r="I11" s="86"/>
      <c r="J11" s="87"/>
    </row>
    <row r="12" spans="1:16" x14ac:dyDescent="0.2">
      <c r="A12" s="111" t="e">
        <f>#REF!</f>
        <v>#REF!</v>
      </c>
      <c r="B12" s="82"/>
      <c r="C12" s="82"/>
      <c r="D12" s="82"/>
      <c r="E12" s="83"/>
      <c r="F12" s="84" t="e">
        <f>#REF!</f>
        <v>#REF!</v>
      </c>
      <c r="G12" s="84"/>
      <c r="H12" s="85"/>
      <c r="I12" s="86"/>
      <c r="J12" s="87"/>
    </row>
    <row r="13" spans="1:16" x14ac:dyDescent="0.2">
      <c r="A13" s="111" t="e">
        <f>#REF!</f>
        <v>#REF!</v>
      </c>
      <c r="B13" s="82"/>
      <c r="C13" s="82"/>
      <c r="D13" s="82"/>
      <c r="E13" s="83"/>
      <c r="F13" s="84" t="e">
        <f>#REF!</f>
        <v>#REF!</v>
      </c>
      <c r="G13" s="84"/>
      <c r="H13" s="85"/>
      <c r="I13" s="86"/>
      <c r="J13" s="87"/>
    </row>
    <row r="14" spans="1:16" x14ac:dyDescent="0.2">
      <c r="A14" s="111" t="e">
        <f>#REF!</f>
        <v>#REF!</v>
      </c>
      <c r="B14" s="82"/>
      <c r="C14" s="82"/>
      <c r="D14" s="82"/>
      <c r="E14" s="83"/>
      <c r="F14" s="84" t="e">
        <f>#REF!</f>
        <v>#REF!</v>
      </c>
      <c r="G14" s="84"/>
      <c r="H14" s="85"/>
      <c r="I14" s="86"/>
      <c r="J14" s="87"/>
    </row>
    <row r="15" spans="1:16" x14ac:dyDescent="0.2">
      <c r="A15" s="111" t="e">
        <f>#REF!</f>
        <v>#REF!</v>
      </c>
      <c r="B15" s="82"/>
      <c r="C15" s="82"/>
      <c r="D15" s="82"/>
      <c r="E15" s="83"/>
      <c r="F15" s="84" t="e">
        <f>#REF!</f>
        <v>#REF!</v>
      </c>
      <c r="G15" s="84"/>
      <c r="H15" s="85"/>
      <c r="I15" s="86"/>
      <c r="J15" s="87"/>
    </row>
    <row r="16" spans="1:16" x14ac:dyDescent="0.2">
      <c r="A16" s="111" t="e">
        <f>#REF!</f>
        <v>#REF!</v>
      </c>
      <c r="B16" s="82"/>
      <c r="C16" s="82"/>
      <c r="D16" s="82"/>
      <c r="E16" s="83"/>
      <c r="F16" s="84" t="e">
        <f>#REF!</f>
        <v>#REF!</v>
      </c>
      <c r="G16" s="84"/>
      <c r="H16" s="85"/>
      <c r="I16" s="86"/>
      <c r="J16" s="87"/>
    </row>
    <row r="17" spans="1:10" x14ac:dyDescent="0.2">
      <c r="A17" s="111" t="e">
        <f>#REF!</f>
        <v>#REF!</v>
      </c>
      <c r="B17" s="82"/>
      <c r="C17" s="82"/>
      <c r="D17" s="82"/>
      <c r="E17" s="83"/>
      <c r="F17" s="84" t="e">
        <f>#REF!</f>
        <v>#REF!</v>
      </c>
      <c r="G17" s="84"/>
      <c r="H17" s="85"/>
      <c r="I17" s="86"/>
      <c r="J17" s="87"/>
    </row>
    <row r="18" spans="1:10" x14ac:dyDescent="0.2">
      <c r="A18" s="111" t="e">
        <f>#REF!</f>
        <v>#REF!</v>
      </c>
      <c r="B18" s="82"/>
      <c r="C18" s="82"/>
      <c r="D18" s="82"/>
      <c r="E18" s="83"/>
      <c r="F18" s="84" t="e">
        <f>#REF!</f>
        <v>#REF!</v>
      </c>
      <c r="G18" s="84"/>
      <c r="H18" s="85"/>
      <c r="I18" s="86"/>
      <c r="J18" s="87"/>
    </row>
    <row r="19" spans="1:10" x14ac:dyDescent="0.2">
      <c r="A19" s="111" t="e">
        <f>#REF!</f>
        <v>#REF!</v>
      </c>
      <c r="B19" s="82"/>
      <c r="C19" s="82"/>
      <c r="D19" s="82"/>
      <c r="E19" s="83"/>
      <c r="F19" s="84" t="e">
        <f>#REF!</f>
        <v>#REF!</v>
      </c>
      <c r="G19" s="84"/>
      <c r="H19" s="85"/>
      <c r="I19" s="86"/>
      <c r="J19" s="87"/>
    </row>
    <row r="20" spans="1:10" x14ac:dyDescent="0.2">
      <c r="A20" s="111" t="e">
        <f>#REF!</f>
        <v>#REF!</v>
      </c>
      <c r="B20" s="82"/>
      <c r="C20" s="82"/>
      <c r="D20" s="82"/>
      <c r="E20" s="83"/>
      <c r="F20" s="84" t="e">
        <f>#REF!</f>
        <v>#REF!</v>
      </c>
      <c r="G20" s="84"/>
      <c r="H20" s="85"/>
      <c r="I20" s="86"/>
      <c r="J20" s="87"/>
    </row>
    <row r="21" spans="1:10" x14ac:dyDescent="0.2">
      <c r="A21" s="111" t="e">
        <f>#REF!</f>
        <v>#REF!</v>
      </c>
      <c r="B21" s="82"/>
      <c r="C21" s="82"/>
      <c r="D21" s="82"/>
      <c r="E21" s="83"/>
      <c r="F21" s="84" t="e">
        <f>#REF!</f>
        <v>#REF!</v>
      </c>
      <c r="G21" s="84"/>
      <c r="H21" s="85"/>
      <c r="I21" s="86"/>
      <c r="J21" s="87"/>
    </row>
    <row r="22" spans="1:10" x14ac:dyDescent="0.2">
      <c r="A22" s="111" t="e">
        <f>#REF!</f>
        <v>#REF!</v>
      </c>
      <c r="B22" s="82"/>
      <c r="C22" s="82"/>
      <c r="D22" s="82"/>
      <c r="E22" s="83"/>
      <c r="F22" s="84" t="e">
        <f>#REF!</f>
        <v>#REF!</v>
      </c>
      <c r="G22" s="84"/>
      <c r="H22" s="85"/>
      <c r="I22" s="86"/>
      <c r="J22" s="87"/>
    </row>
    <row r="23" spans="1:10" x14ac:dyDescent="0.2">
      <c r="A23" s="111" t="e">
        <f>#REF!</f>
        <v>#REF!</v>
      </c>
      <c r="B23" s="82"/>
      <c r="C23" s="82"/>
      <c r="D23" s="82"/>
      <c r="E23" s="83"/>
      <c r="F23" s="84" t="e">
        <f>#REF!</f>
        <v>#REF!</v>
      </c>
      <c r="G23" s="84"/>
      <c r="H23" s="85"/>
      <c r="I23" s="86"/>
      <c r="J23" s="87"/>
    </row>
    <row r="24" spans="1:10" x14ac:dyDescent="0.2">
      <c r="A24" s="111" t="e">
        <f>#REF!</f>
        <v>#REF!</v>
      </c>
      <c r="B24" s="82"/>
      <c r="C24" s="82"/>
      <c r="D24" s="82"/>
      <c r="E24" s="83"/>
      <c r="F24" s="84" t="e">
        <f>#REF!</f>
        <v>#REF!</v>
      </c>
      <c r="G24" s="84"/>
      <c r="H24" s="85"/>
      <c r="I24" s="86"/>
      <c r="J24" s="87"/>
    </row>
    <row r="25" spans="1:10" x14ac:dyDescent="0.2">
      <c r="A25" s="111" t="e">
        <f>#REF!</f>
        <v>#REF!</v>
      </c>
      <c r="B25" s="82"/>
      <c r="C25" s="82"/>
      <c r="D25" s="82"/>
      <c r="E25" s="83"/>
      <c r="F25" s="84" t="e">
        <f>#REF!</f>
        <v>#REF!</v>
      </c>
      <c r="G25" s="84"/>
      <c r="H25" s="85"/>
      <c r="I25" s="86"/>
      <c r="J25" s="87"/>
    </row>
    <row r="26" spans="1:10" x14ac:dyDescent="0.2">
      <c r="A26" s="111" t="e">
        <f>#REF!</f>
        <v>#REF!</v>
      </c>
      <c r="B26" s="82"/>
      <c r="C26" s="82"/>
      <c r="D26" s="82"/>
      <c r="E26" s="83"/>
      <c r="F26" s="84" t="e">
        <f>#REF!</f>
        <v>#REF!</v>
      </c>
      <c r="G26" s="84"/>
      <c r="H26" s="85"/>
      <c r="I26" s="86"/>
      <c r="J26" s="87"/>
    </row>
    <row r="27" spans="1:10" x14ac:dyDescent="0.2">
      <c r="A27" s="111" t="e">
        <f>#REF!</f>
        <v>#REF!</v>
      </c>
      <c r="B27" s="82"/>
      <c r="C27" s="82"/>
      <c r="D27" s="82"/>
      <c r="E27" s="83"/>
      <c r="F27" s="84" t="e">
        <f>#REF!</f>
        <v>#REF!</v>
      </c>
      <c r="G27" s="84"/>
      <c r="H27" s="85"/>
      <c r="I27" s="86"/>
      <c r="J27" s="87"/>
    </row>
    <row r="28" spans="1:10" x14ac:dyDescent="0.2">
      <c r="A28" s="111" t="e">
        <f>#REF!</f>
        <v>#REF!</v>
      </c>
      <c r="B28" s="82"/>
      <c r="C28" s="82"/>
      <c r="D28" s="82"/>
      <c r="E28" s="83"/>
      <c r="F28" s="84" t="e">
        <f>#REF!</f>
        <v>#REF!</v>
      </c>
      <c r="G28" s="84"/>
      <c r="H28" s="85"/>
      <c r="I28" s="86"/>
      <c r="J28" s="87"/>
    </row>
    <row r="29" spans="1:10" x14ac:dyDescent="0.2">
      <c r="A29" s="111" t="e">
        <f>#REF!</f>
        <v>#REF!</v>
      </c>
      <c r="B29" s="82"/>
      <c r="C29" s="82"/>
      <c r="D29" s="82"/>
      <c r="E29" s="83"/>
      <c r="F29" s="84" t="e">
        <f>#REF!</f>
        <v>#REF!</v>
      </c>
      <c r="G29" s="84"/>
      <c r="H29" s="85"/>
      <c r="I29" s="86"/>
      <c r="J29" s="87"/>
    </row>
    <row r="30" spans="1:10" x14ac:dyDescent="0.2">
      <c r="A30" s="111" t="e">
        <f>#REF!</f>
        <v>#REF!</v>
      </c>
      <c r="B30" s="82"/>
      <c r="C30" s="82"/>
      <c r="D30" s="82"/>
      <c r="E30" s="83"/>
      <c r="F30" s="84" t="e">
        <f>#REF!</f>
        <v>#REF!</v>
      </c>
      <c r="G30" s="84"/>
      <c r="H30" s="85"/>
      <c r="I30" s="86"/>
      <c r="J30" s="87"/>
    </row>
    <row r="31" spans="1:10" x14ac:dyDescent="0.2">
      <c r="A31" s="111" t="e">
        <f>#REF!</f>
        <v>#REF!</v>
      </c>
      <c r="B31" s="82"/>
      <c r="C31" s="82"/>
      <c r="D31" s="82"/>
      <c r="E31" s="83"/>
      <c r="F31" s="84" t="e">
        <f>#REF!</f>
        <v>#REF!</v>
      </c>
      <c r="G31" s="84"/>
      <c r="H31" s="85"/>
      <c r="I31" s="86"/>
      <c r="J31" s="87"/>
    </row>
    <row r="32" spans="1:10" x14ac:dyDescent="0.2">
      <c r="A32" s="111" t="e">
        <f>#REF!</f>
        <v>#REF!</v>
      </c>
      <c r="B32" s="82"/>
      <c r="C32" s="82"/>
      <c r="D32" s="82"/>
      <c r="E32" s="83"/>
      <c r="F32" s="84" t="e">
        <f>#REF!</f>
        <v>#REF!</v>
      </c>
      <c r="G32" s="84"/>
      <c r="H32" s="85"/>
      <c r="I32" s="86"/>
      <c r="J32" s="87"/>
    </row>
    <row r="33" spans="1:10" x14ac:dyDescent="0.2">
      <c r="A33" s="111" t="e">
        <f>#REF!</f>
        <v>#REF!</v>
      </c>
      <c r="B33" s="82"/>
      <c r="C33" s="82"/>
      <c r="D33" s="82"/>
      <c r="E33" s="83"/>
      <c r="F33" s="84" t="e">
        <f>#REF!</f>
        <v>#REF!</v>
      </c>
      <c r="G33" s="84"/>
      <c r="H33" s="85"/>
      <c r="I33" s="86"/>
      <c r="J33" s="87"/>
    </row>
    <row r="34" spans="1:10" x14ac:dyDescent="0.2">
      <c r="A34" s="111" t="e">
        <f>#REF!</f>
        <v>#REF!</v>
      </c>
      <c r="B34" s="82"/>
      <c r="C34" s="82"/>
      <c r="D34" s="82"/>
      <c r="E34" s="83"/>
      <c r="F34" s="84" t="e">
        <f>#REF!</f>
        <v>#REF!</v>
      </c>
      <c r="G34" s="84"/>
      <c r="H34" s="85"/>
      <c r="I34" s="86"/>
      <c r="J34" s="87"/>
    </row>
    <row r="35" spans="1:10" x14ac:dyDescent="0.2">
      <c r="A35" s="111" t="e">
        <f>#REF!</f>
        <v>#REF!</v>
      </c>
      <c r="B35" s="82"/>
      <c r="C35" s="82"/>
      <c r="D35" s="82"/>
      <c r="E35" s="83"/>
      <c r="F35" s="84" t="e">
        <f>#REF!</f>
        <v>#REF!</v>
      </c>
      <c r="G35" s="84"/>
      <c r="H35" s="85"/>
      <c r="I35" s="86"/>
      <c r="J35" s="87"/>
    </row>
    <row r="36" spans="1:10" x14ac:dyDescent="0.2">
      <c r="A36" s="111" t="e">
        <f>#REF!</f>
        <v>#REF!</v>
      </c>
      <c r="B36" s="82"/>
      <c r="C36" s="82"/>
      <c r="D36" s="82"/>
      <c r="E36" s="83"/>
      <c r="F36" s="84" t="e">
        <f>#REF!</f>
        <v>#REF!</v>
      </c>
      <c r="G36" s="84"/>
      <c r="H36" s="85"/>
      <c r="I36" s="86"/>
      <c r="J36" s="87"/>
    </row>
    <row r="37" spans="1:10" x14ac:dyDescent="0.2">
      <c r="A37" s="111" t="e">
        <f>#REF!</f>
        <v>#REF!</v>
      </c>
      <c r="B37" s="82"/>
      <c r="C37" s="82"/>
      <c r="D37" s="82"/>
      <c r="E37" s="83"/>
      <c r="F37" s="84" t="e">
        <f>#REF!</f>
        <v>#REF!</v>
      </c>
      <c r="G37" s="84"/>
      <c r="H37" s="85"/>
      <c r="I37" s="86"/>
      <c r="J37" s="87"/>
    </row>
    <row r="38" spans="1:10" x14ac:dyDescent="0.2">
      <c r="A38" s="111" t="e">
        <f>#REF!</f>
        <v>#REF!</v>
      </c>
      <c r="B38" s="82"/>
      <c r="C38" s="82"/>
      <c r="D38" s="82"/>
      <c r="E38" s="83"/>
      <c r="F38" s="84" t="e">
        <f>#REF!</f>
        <v>#REF!</v>
      </c>
      <c r="G38" s="84"/>
      <c r="H38" s="85"/>
      <c r="I38" s="86"/>
      <c r="J38" s="87"/>
    </row>
    <row r="39" spans="1:10" x14ac:dyDescent="0.2">
      <c r="A39" s="111" t="e">
        <f>#REF!</f>
        <v>#REF!</v>
      </c>
      <c r="B39" s="82"/>
      <c r="C39" s="82"/>
      <c r="D39" s="82"/>
      <c r="E39" s="83"/>
      <c r="F39" s="84" t="e">
        <f>#REF!</f>
        <v>#REF!</v>
      </c>
      <c r="G39" s="84"/>
      <c r="H39" s="85"/>
      <c r="I39" s="86"/>
      <c r="J39" s="87"/>
    </row>
    <row r="40" spans="1:10" x14ac:dyDescent="0.2">
      <c r="A40" s="111" t="e">
        <f>#REF!</f>
        <v>#REF!</v>
      </c>
      <c r="B40" s="82"/>
      <c r="C40" s="82"/>
      <c r="D40" s="82"/>
      <c r="E40" s="83"/>
      <c r="F40" s="84" t="e">
        <f>#REF!</f>
        <v>#REF!</v>
      </c>
      <c r="G40" s="84"/>
      <c r="H40" s="85"/>
      <c r="I40" s="86"/>
      <c r="J40" s="87"/>
    </row>
    <row r="41" spans="1:10" x14ac:dyDescent="0.2">
      <c r="A41" s="111" t="e">
        <f>#REF!</f>
        <v>#REF!</v>
      </c>
      <c r="B41" s="82"/>
      <c r="C41" s="82"/>
      <c r="D41" s="82"/>
      <c r="E41" s="83"/>
      <c r="F41" s="84" t="e">
        <f>#REF!</f>
        <v>#REF!</v>
      </c>
      <c r="G41" s="84"/>
      <c r="H41" s="85"/>
      <c r="I41" s="86"/>
      <c r="J41" s="87"/>
    </row>
    <row r="42" spans="1:10" x14ac:dyDescent="0.2">
      <c r="A42" s="111" t="e">
        <f>#REF!</f>
        <v>#REF!</v>
      </c>
      <c r="B42" s="82"/>
      <c r="C42" s="82"/>
      <c r="D42" s="82"/>
      <c r="E42" s="83"/>
      <c r="F42" s="84" t="e">
        <f>#REF!</f>
        <v>#REF!</v>
      </c>
      <c r="G42" s="84"/>
      <c r="H42" s="85"/>
      <c r="I42" s="86"/>
      <c r="J42" s="87"/>
    </row>
    <row r="43" spans="1:10" x14ac:dyDescent="0.2">
      <c r="A43" s="111" t="e">
        <f>#REF!</f>
        <v>#REF!</v>
      </c>
      <c r="B43" s="82"/>
      <c r="C43" s="82"/>
      <c r="D43" s="82"/>
      <c r="E43" s="83"/>
      <c r="F43" s="84" t="e">
        <f>#REF!</f>
        <v>#REF!</v>
      </c>
      <c r="G43" s="84"/>
      <c r="H43" s="85"/>
      <c r="I43" s="86"/>
      <c r="J43" s="87"/>
    </row>
    <row r="44" spans="1:10" x14ac:dyDescent="0.2">
      <c r="A44" s="111" t="e">
        <f>#REF!</f>
        <v>#REF!</v>
      </c>
      <c r="B44" s="82"/>
      <c r="C44" s="82"/>
      <c r="D44" s="82"/>
      <c r="E44" s="83"/>
      <c r="F44" s="84" t="e">
        <f>#REF!</f>
        <v>#REF!</v>
      </c>
      <c r="G44" s="84"/>
      <c r="H44" s="85"/>
      <c r="I44" s="86"/>
      <c r="J44" s="87"/>
    </row>
    <row r="45" spans="1:10" x14ac:dyDescent="0.2">
      <c r="A45" s="111" t="e">
        <f>#REF!</f>
        <v>#REF!</v>
      </c>
      <c r="B45" s="82"/>
      <c r="C45" s="82"/>
      <c r="D45" s="82"/>
      <c r="E45" s="83"/>
      <c r="F45" s="84" t="e">
        <f>#REF!</f>
        <v>#REF!</v>
      </c>
      <c r="G45" s="84"/>
      <c r="H45" s="85"/>
      <c r="I45" s="86"/>
      <c r="J45" s="87"/>
    </row>
    <row r="46" spans="1:10" x14ac:dyDescent="0.2">
      <c r="A46" s="111" t="e">
        <f>#REF!</f>
        <v>#REF!</v>
      </c>
      <c r="B46" s="82"/>
      <c r="C46" s="82"/>
      <c r="D46" s="82"/>
      <c r="E46" s="83"/>
      <c r="F46" s="84" t="e">
        <f>#REF!</f>
        <v>#REF!</v>
      </c>
      <c r="G46" s="84"/>
      <c r="H46" s="85"/>
      <c r="I46" s="86"/>
      <c r="J46" s="87"/>
    </row>
    <row r="47" spans="1:10" x14ac:dyDescent="0.2">
      <c r="A47" s="111" t="e">
        <f>#REF!</f>
        <v>#REF!</v>
      </c>
      <c r="B47" s="82"/>
      <c r="C47" s="82"/>
      <c r="D47" s="82"/>
      <c r="E47" s="83"/>
      <c r="F47" s="84" t="e">
        <f>#REF!</f>
        <v>#REF!</v>
      </c>
      <c r="G47" s="84"/>
      <c r="H47" s="85"/>
      <c r="I47" s="86"/>
      <c r="J47" s="87"/>
    </row>
    <row r="48" spans="1:10" x14ac:dyDescent="0.2">
      <c r="A48" s="111" t="e">
        <f>#REF!</f>
        <v>#REF!</v>
      </c>
      <c r="B48" s="82"/>
      <c r="C48" s="82"/>
      <c r="D48" s="82"/>
      <c r="E48" s="83"/>
      <c r="F48" s="84" t="e">
        <f>#REF!</f>
        <v>#REF!</v>
      </c>
      <c r="G48" s="84"/>
      <c r="H48" s="85"/>
      <c r="I48" s="86"/>
      <c r="J48" s="87"/>
    </row>
    <row r="49" spans="1:10" x14ac:dyDescent="0.2">
      <c r="A49" s="111" t="e">
        <f>#REF!</f>
        <v>#REF!</v>
      </c>
      <c r="B49" s="82"/>
      <c r="C49" s="82"/>
      <c r="D49" s="82"/>
      <c r="E49" s="83"/>
      <c r="F49" s="84" t="e">
        <f>#REF!</f>
        <v>#REF!</v>
      </c>
      <c r="G49" s="84"/>
      <c r="H49" s="85"/>
      <c r="I49" s="86"/>
      <c r="J49" s="87"/>
    </row>
    <row r="50" spans="1:10" x14ac:dyDescent="0.2">
      <c r="A50" s="111" t="e">
        <f>#REF!</f>
        <v>#REF!</v>
      </c>
      <c r="B50" s="82"/>
      <c r="C50" s="82"/>
      <c r="D50" s="82"/>
      <c r="E50" s="83"/>
      <c r="F50" s="84" t="e">
        <f>#REF!</f>
        <v>#REF!</v>
      </c>
      <c r="G50" s="84"/>
      <c r="H50" s="85"/>
      <c r="I50" s="86"/>
      <c r="J50" s="87"/>
    </row>
    <row r="51" spans="1:10" x14ac:dyDescent="0.2">
      <c r="A51" s="111" t="e">
        <f>#REF!</f>
        <v>#REF!</v>
      </c>
      <c r="B51" s="82"/>
      <c r="C51" s="82"/>
      <c r="D51" s="82"/>
      <c r="E51" s="83"/>
      <c r="F51" s="84" t="e">
        <f>#REF!</f>
        <v>#REF!</v>
      </c>
      <c r="G51" s="84"/>
      <c r="H51" s="85"/>
      <c r="I51" s="86"/>
      <c r="J51" s="87"/>
    </row>
    <row r="52" spans="1:10" x14ac:dyDescent="0.2">
      <c r="A52" s="111" t="e">
        <f>#REF!</f>
        <v>#REF!</v>
      </c>
      <c r="B52" s="82"/>
      <c r="C52" s="82"/>
      <c r="D52" s="82"/>
      <c r="E52" s="83"/>
      <c r="F52" s="84" t="e">
        <f>#REF!</f>
        <v>#REF!</v>
      </c>
      <c r="G52" s="84"/>
      <c r="H52" s="85"/>
      <c r="I52" s="86"/>
      <c r="J52" s="87"/>
    </row>
    <row r="53" spans="1:10" x14ac:dyDescent="0.2">
      <c r="A53" s="111" t="e">
        <f>#REF!</f>
        <v>#REF!</v>
      </c>
      <c r="B53" s="82"/>
      <c r="C53" s="82"/>
      <c r="D53" s="82"/>
      <c r="E53" s="83"/>
      <c r="F53" s="84" t="e">
        <f>#REF!</f>
        <v>#REF!</v>
      </c>
      <c r="G53" s="84"/>
      <c r="H53" s="85"/>
      <c r="I53" s="86"/>
      <c r="J53" s="87"/>
    </row>
    <row r="54" spans="1:10" x14ac:dyDescent="0.2">
      <c r="A54" s="111" t="e">
        <f>#REF!</f>
        <v>#REF!</v>
      </c>
      <c r="B54" s="82"/>
      <c r="C54" s="82"/>
      <c r="D54" s="82"/>
      <c r="E54" s="83"/>
      <c r="F54" s="84" t="e">
        <f>#REF!</f>
        <v>#REF!</v>
      </c>
      <c r="G54" s="84"/>
      <c r="H54" s="85" t="s">
        <v>1</v>
      </c>
      <c r="I54" s="86" t="e">
        <f>fgts</f>
        <v>#REF!</v>
      </c>
      <c r="J54" s="87" t="e">
        <f>IF(F54&lt;&gt;"",IF(H54="S",F54*I54,""),"")</f>
        <v>#REF!</v>
      </c>
    </row>
    <row r="55" spans="1:10" ht="12.75" customHeight="1" x14ac:dyDescent="0.2">
      <c r="A55" s="111" t="e">
        <f>#REF!</f>
        <v>#REF!</v>
      </c>
      <c r="B55" s="82"/>
      <c r="C55" s="82"/>
      <c r="D55" s="82"/>
      <c r="E55" s="88"/>
      <c r="F55" s="84" t="e">
        <f>#REF!</f>
        <v>#REF!</v>
      </c>
      <c r="G55" s="84"/>
      <c r="H55" s="85" t="s">
        <v>1</v>
      </c>
      <c r="I55" s="86" t="e">
        <f>fgts</f>
        <v>#REF!</v>
      </c>
      <c r="J55" s="87" t="e">
        <f>IF(F55&lt;&gt;"",IF(H55="S",F55*I55,""),"")</f>
        <v>#REF!</v>
      </c>
    </row>
    <row r="56" spans="1:10" ht="13.8" x14ac:dyDescent="0.2">
      <c r="A56" s="111" t="e">
        <f>#REF!</f>
        <v>#REF!</v>
      </c>
      <c r="B56" s="82"/>
      <c r="C56" s="82"/>
      <c r="D56" s="82"/>
      <c r="E56" s="89"/>
      <c r="F56" s="84" t="e">
        <f>#REF!</f>
        <v>#REF!</v>
      </c>
      <c r="G56" s="84"/>
      <c r="H56" s="85"/>
      <c r="I56" s="86"/>
      <c r="J56" s="87"/>
    </row>
    <row r="57" spans="1:10" ht="13.8" x14ac:dyDescent="0.2">
      <c r="A57" s="111" t="e">
        <f>#REF!</f>
        <v>#REF!</v>
      </c>
      <c r="B57" s="82"/>
      <c r="C57" s="82"/>
      <c r="D57" s="82"/>
      <c r="E57" s="328"/>
      <c r="F57" s="85" t="e">
        <f>#REF!</f>
        <v>#REF!</v>
      </c>
      <c r="G57" s="84"/>
      <c r="H57" s="85" t="s">
        <v>1</v>
      </c>
      <c r="I57" s="86" t="e">
        <f>fgts</f>
        <v>#REF!</v>
      </c>
      <c r="J57" s="87" t="e">
        <f>IF(F57&lt;&gt;"",IF(H57="S",F57*I57,""),"")</f>
        <v>#REF!</v>
      </c>
    </row>
    <row r="58" spans="1:10" ht="13.8" x14ac:dyDescent="0.2">
      <c r="A58" s="111" t="e">
        <f>#REF!</f>
        <v>#REF!</v>
      </c>
      <c r="B58" s="82"/>
      <c r="C58" s="82"/>
      <c r="D58" s="82"/>
      <c r="E58" s="325"/>
      <c r="F58" s="85" t="e">
        <f>#REF!</f>
        <v>#REF!</v>
      </c>
      <c r="G58" s="84"/>
      <c r="H58" s="85" t="s">
        <v>1</v>
      </c>
      <c r="I58" s="86" t="e">
        <f>fgts</f>
        <v>#REF!</v>
      </c>
      <c r="J58" s="87" t="e">
        <f>IF(F58&lt;&gt;"",IF(H58="S",F58*I58,""),"")</f>
        <v>#REF!</v>
      </c>
    </row>
    <row r="59" spans="1:10" ht="13.8" x14ac:dyDescent="0.2">
      <c r="A59" s="111" t="e">
        <f>#REF!</f>
        <v>#REF!</v>
      </c>
      <c r="B59" s="82"/>
      <c r="C59" s="82"/>
      <c r="D59" s="82"/>
      <c r="E59" s="325"/>
      <c r="F59" s="85" t="e">
        <f>#REF!</f>
        <v>#REF!</v>
      </c>
      <c r="G59" s="100"/>
      <c r="H59" s="100"/>
      <c r="I59" s="326"/>
      <c r="J59" s="87"/>
    </row>
    <row r="60" spans="1:10" ht="13.8" x14ac:dyDescent="0.2">
      <c r="A60" s="111" t="e">
        <f>#REF!</f>
        <v>#REF!</v>
      </c>
      <c r="B60" s="82"/>
      <c r="C60" s="82"/>
      <c r="D60" s="82"/>
      <c r="E60" s="325"/>
      <c r="F60" s="327" t="e">
        <f>#REF!</f>
        <v>#REF!</v>
      </c>
      <c r="G60" s="100"/>
      <c r="H60" s="100"/>
      <c r="I60" s="326"/>
      <c r="J60" s="87"/>
    </row>
    <row r="61" spans="1:10" ht="16.2" x14ac:dyDescent="0.2">
      <c r="A61" s="384" t="s">
        <v>145</v>
      </c>
      <c r="B61" s="384"/>
      <c r="C61" s="384"/>
      <c r="D61" s="385"/>
      <c r="E61" s="90"/>
      <c r="F61" s="91" t="e">
        <f>SUBTOTAL(9,F9:F60)</f>
        <v>#REF!</v>
      </c>
      <c r="G61" s="92"/>
      <c r="H61" s="93"/>
      <c r="I61" s="94"/>
      <c r="J61" s="95" t="e">
        <f>SUM(J9:J58)</f>
        <v>#REF!</v>
      </c>
    </row>
    <row r="62" spans="1:10" ht="16.2" x14ac:dyDescent="0.2">
      <c r="A62" s="319" t="s">
        <v>149</v>
      </c>
      <c r="B62" s="322"/>
      <c r="C62" s="322"/>
      <c r="D62" s="322"/>
      <c r="E62" s="90"/>
      <c r="F62" s="91" t="e">
        <f>-inss_ded</f>
        <v>#REF!</v>
      </c>
      <c r="G62" s="97"/>
      <c r="H62" s="99"/>
      <c r="I62" s="99"/>
      <c r="J62" s="323"/>
    </row>
    <row r="63" spans="1:10" ht="16.2" x14ac:dyDescent="0.2">
      <c r="A63" s="319" t="s">
        <v>4</v>
      </c>
      <c r="B63" s="322"/>
      <c r="C63" s="322"/>
      <c r="D63" s="322"/>
      <c r="E63" s="90"/>
      <c r="F63" s="91" t="e">
        <f>SUM(F61:F62)</f>
        <v>#REF!</v>
      </c>
      <c r="G63" s="97"/>
      <c r="H63" s="99"/>
      <c r="I63" s="99"/>
      <c r="J63" s="323"/>
    </row>
    <row r="64" spans="1:10" ht="16.2" x14ac:dyDescent="0.2">
      <c r="A64" s="319" t="s">
        <v>105</v>
      </c>
      <c r="B64" s="322"/>
      <c r="C64" s="322"/>
      <c r="D64" s="322"/>
      <c r="E64" s="90"/>
      <c r="F64" s="332" t="e">
        <f>JUROS</f>
        <v>#REF!</v>
      </c>
      <c r="G64" s="97"/>
      <c r="H64" s="99"/>
      <c r="I64" s="99"/>
      <c r="J64" s="323"/>
    </row>
    <row r="65" spans="1:14" ht="19.8" x14ac:dyDescent="0.2">
      <c r="A65" s="319" t="s">
        <v>146</v>
      </c>
      <c r="B65" s="324"/>
      <c r="C65" s="322"/>
      <c r="D65" s="322"/>
      <c r="E65" s="94"/>
      <c r="F65" s="284" t="e">
        <f>F63*F64</f>
        <v>#REF!</v>
      </c>
      <c r="G65" s="96"/>
      <c r="H65" s="97"/>
      <c r="I65" s="98" t="s">
        <v>9</v>
      </c>
      <c r="J65" s="99"/>
      <c r="K65" s="99"/>
      <c r="L65" s="99"/>
      <c r="M65" s="100"/>
      <c r="N65" s="97"/>
    </row>
  </sheetData>
  <mergeCells count="4">
    <mergeCell ref="A1:F2"/>
    <mergeCell ref="A7:F7"/>
    <mergeCell ref="A8:D8"/>
    <mergeCell ref="A61:D61"/>
  </mergeCells>
  <phoneticPr fontId="2" type="noConversion"/>
  <pageMargins left="0.78740157499999996" right="0.78740157499999996" top="0.984251969" bottom="0.984251969" header="0.49212598499999999" footer="0.49212598499999999"/>
  <pageSetup paperSize="9" scale="8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5">
    <pageSetUpPr fitToPage="1"/>
  </sheetPr>
  <dimension ref="A1:CQ105"/>
  <sheetViews>
    <sheetView workbookViewId="0">
      <selection sqref="A1:G1"/>
    </sheetView>
  </sheetViews>
  <sheetFormatPr defaultColWidth="9.109375" defaultRowHeight="12.6" x14ac:dyDescent="0.2"/>
  <cols>
    <col min="1" max="1" width="6.109375" style="10" customWidth="1"/>
    <col min="2" max="2" width="16.5546875" style="10" customWidth="1"/>
    <col min="3" max="3" width="13.88671875" style="10" customWidth="1"/>
    <col min="4" max="4" width="11.33203125" style="10" customWidth="1"/>
    <col min="5" max="5" width="11.33203125" style="10" hidden="1" customWidth="1"/>
    <col min="6" max="6" width="9.5546875" style="10" hidden="1" customWidth="1"/>
    <col min="7" max="7" width="0" style="10" hidden="1" customWidth="1"/>
    <col min="8" max="8" width="8.6640625" style="10" hidden="1" customWidth="1"/>
    <col min="9" max="9" width="11.6640625" style="10" hidden="1" customWidth="1"/>
    <col min="10" max="10" width="10.5546875" style="10" hidden="1" customWidth="1"/>
    <col min="11" max="12" width="8.5546875" style="10" hidden="1" customWidth="1"/>
    <col min="13" max="13" width="11.109375" style="10" hidden="1" customWidth="1"/>
    <col min="14" max="14" width="10.6640625" style="10" hidden="1" customWidth="1"/>
    <col min="15" max="17" width="12.109375" style="10" hidden="1" customWidth="1"/>
    <col min="18" max="18" width="14.88671875" style="10" customWidth="1"/>
    <col min="19" max="19" width="13.88671875" style="10" hidden="1" customWidth="1"/>
    <col min="20" max="20" width="7" style="10" customWidth="1"/>
    <col min="21" max="21" width="12.5546875" style="10" customWidth="1"/>
    <col min="22" max="22" width="11.6640625" style="10" customWidth="1"/>
    <col min="23" max="23" width="14.5546875" style="10" bestFit="1" customWidth="1"/>
    <col min="24" max="24" width="16.5546875" style="10" customWidth="1"/>
    <col min="25" max="25" width="14.88671875" style="10" bestFit="1" customWidth="1"/>
    <col min="26" max="26" width="14.88671875" style="10" customWidth="1"/>
    <col min="27" max="27" width="11.33203125" style="10" customWidth="1"/>
    <col min="28" max="28" width="12.109375" style="10" customWidth="1"/>
    <col min="29" max="29" width="14" style="10" customWidth="1"/>
    <col min="30" max="30" width="15.109375" style="10" customWidth="1"/>
    <col min="31" max="31" width="11.33203125" style="10" customWidth="1"/>
    <col min="32" max="32" width="13.44140625" style="10" customWidth="1"/>
    <col min="33" max="33" width="15.6640625" style="10" customWidth="1"/>
    <col min="34" max="34" width="16.88671875" style="10" customWidth="1"/>
    <col min="35" max="35" width="14" style="10" bestFit="1" customWidth="1"/>
    <col min="36" max="48" width="14" style="10" customWidth="1"/>
    <col min="49" max="49" width="12.33203125" style="10" customWidth="1"/>
    <col min="50" max="50" width="9.109375" style="10"/>
    <col min="51" max="51" width="12.33203125" style="10" bestFit="1" customWidth="1"/>
    <col min="52" max="52" width="9.109375" style="10"/>
    <col min="53" max="53" width="12.33203125" style="10" bestFit="1" customWidth="1"/>
    <col min="54" max="55" width="9.109375" style="10"/>
    <col min="56" max="56" width="12.33203125" style="10" bestFit="1" customWidth="1"/>
    <col min="57" max="57" width="9.109375" style="10"/>
    <col min="58" max="58" width="12.33203125" style="10" bestFit="1" customWidth="1"/>
    <col min="59" max="59" width="9.109375" style="10"/>
    <col min="60" max="60" width="12.33203125" style="10" bestFit="1" customWidth="1"/>
    <col min="61" max="61" width="9.109375" style="10"/>
    <col min="62" max="62" width="9.88671875" style="10" bestFit="1" customWidth="1"/>
    <col min="63" max="63" width="10" style="10" bestFit="1" customWidth="1"/>
    <col min="64" max="67" width="9.88671875" style="10" bestFit="1" customWidth="1"/>
    <col min="68" max="68" width="9.109375" style="10"/>
    <col min="69" max="69" width="9.88671875" style="10" bestFit="1" customWidth="1"/>
    <col min="70" max="70" width="9.109375" style="10"/>
    <col min="71" max="71" width="9.88671875" style="10" bestFit="1" customWidth="1"/>
    <col min="72" max="72" width="11.109375" style="10" bestFit="1" customWidth="1"/>
    <col min="73" max="73" width="12.109375" style="10" customWidth="1"/>
    <col min="74" max="74" width="12.33203125" style="10" customWidth="1"/>
    <col min="75" max="76" width="13" style="10" customWidth="1"/>
    <col min="77" max="77" width="12" style="10" customWidth="1"/>
    <col min="78" max="78" width="13.33203125" style="10" customWidth="1"/>
    <col min="79" max="79" width="12" style="10" customWidth="1"/>
    <col min="80" max="80" width="11.6640625" style="10" customWidth="1"/>
    <col min="81" max="81" width="12.44140625" style="10" customWidth="1"/>
    <col min="82" max="82" width="16.88671875" style="10" customWidth="1"/>
    <col min="83" max="83" width="9.88671875" style="10" bestFit="1" customWidth="1"/>
    <col min="84" max="86" width="9.109375" style="10"/>
    <col min="87" max="95" width="9.88671875" style="10" bestFit="1" customWidth="1"/>
    <col min="96" max="16384" width="9.109375" style="10"/>
  </cols>
  <sheetData>
    <row r="1" spans="1:95" ht="28.5" customHeight="1" x14ac:dyDescent="0.2">
      <c r="A1" s="10" t="s">
        <v>60</v>
      </c>
      <c r="B1" s="386" t="s">
        <v>108</v>
      </c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E1" s="387"/>
      <c r="AF1" s="387"/>
      <c r="AG1" s="387"/>
      <c r="AH1" s="388"/>
      <c r="AI1" s="48"/>
      <c r="AJ1" s="48"/>
      <c r="AK1" s="48"/>
      <c r="AL1" s="48"/>
      <c r="AM1" s="48"/>
      <c r="AN1" s="48"/>
      <c r="AO1" s="48"/>
      <c r="AP1" s="48"/>
      <c r="AQ1" s="48"/>
      <c r="AR1" s="188"/>
      <c r="AS1" s="48"/>
      <c r="AT1" s="48"/>
      <c r="AU1" s="48"/>
      <c r="AV1" s="48"/>
      <c r="AW1" s="10">
        <v>1</v>
      </c>
      <c r="AX1" s="10">
        <v>2</v>
      </c>
      <c r="AY1" s="10">
        <v>4</v>
      </c>
      <c r="AZ1" s="10">
        <v>5</v>
      </c>
      <c r="BA1" s="10">
        <v>7</v>
      </c>
      <c r="BB1" s="10">
        <v>8</v>
      </c>
      <c r="BC1" s="10">
        <v>11</v>
      </c>
      <c r="BD1" s="10">
        <v>13</v>
      </c>
      <c r="BE1" s="10">
        <v>14</v>
      </c>
      <c r="BF1" s="10">
        <v>16</v>
      </c>
      <c r="BG1" s="10">
        <v>17</v>
      </c>
      <c r="BH1" s="10">
        <v>19</v>
      </c>
      <c r="BI1" s="10">
        <v>20</v>
      </c>
      <c r="BJ1" s="10">
        <v>22</v>
      </c>
      <c r="BK1" s="10">
        <v>23</v>
      </c>
      <c r="BL1" s="10">
        <v>25</v>
      </c>
      <c r="BM1" s="10">
        <v>26</v>
      </c>
      <c r="BN1" s="10">
        <v>27</v>
      </c>
      <c r="BO1" s="10">
        <v>29</v>
      </c>
      <c r="BP1" s="10">
        <v>31</v>
      </c>
      <c r="BQ1" s="10">
        <v>32</v>
      </c>
      <c r="BR1" s="10">
        <v>33</v>
      </c>
      <c r="BS1" s="10">
        <v>34</v>
      </c>
      <c r="CE1" s="48"/>
      <c r="CF1" s="48"/>
      <c r="CG1" s="189"/>
      <c r="CH1" s="48"/>
      <c r="CI1" s="48"/>
      <c r="CJ1" s="48"/>
      <c r="CK1" s="48"/>
      <c r="CL1" s="48"/>
      <c r="CM1" s="48"/>
      <c r="CN1" s="48"/>
      <c r="CO1" s="48"/>
      <c r="CP1" s="48"/>
      <c r="CQ1" s="48"/>
    </row>
    <row r="2" spans="1:95" ht="14.25" customHeight="1" x14ac:dyDescent="0.2">
      <c r="A2" s="10" t="s">
        <v>60</v>
      </c>
      <c r="B2" s="41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308"/>
      <c r="AI2" s="191"/>
      <c r="AJ2" s="191" t="b">
        <v>1</v>
      </c>
      <c r="AK2" s="191"/>
      <c r="AL2" s="191"/>
      <c r="AM2" s="191"/>
      <c r="AN2" s="191"/>
      <c r="AO2" s="191"/>
      <c r="AP2" s="191"/>
      <c r="AQ2" s="191"/>
      <c r="AR2" s="191"/>
      <c r="AS2" s="191"/>
      <c r="AT2" s="191"/>
      <c r="AU2" s="191"/>
      <c r="AV2" s="191"/>
      <c r="AW2" s="192">
        <v>2</v>
      </c>
      <c r="AX2" s="192">
        <v>3</v>
      </c>
      <c r="AY2" s="192">
        <v>5</v>
      </c>
      <c r="AZ2" s="192">
        <v>6</v>
      </c>
      <c r="BA2" s="192">
        <v>8</v>
      </c>
      <c r="BB2" s="192">
        <v>9</v>
      </c>
      <c r="BC2" s="192">
        <v>12</v>
      </c>
      <c r="BD2" s="192">
        <v>14</v>
      </c>
      <c r="BE2" s="192">
        <v>15</v>
      </c>
      <c r="BF2" s="192">
        <v>17</v>
      </c>
      <c r="BG2" s="192">
        <v>18</v>
      </c>
      <c r="BH2" s="192">
        <v>20</v>
      </c>
      <c r="BI2" s="192">
        <v>21</v>
      </c>
      <c r="BJ2" s="193">
        <v>23</v>
      </c>
      <c r="BK2" s="193">
        <v>24</v>
      </c>
      <c r="BL2" s="193">
        <v>26</v>
      </c>
      <c r="BM2" s="193">
        <v>27</v>
      </c>
      <c r="BN2" s="193">
        <v>29</v>
      </c>
      <c r="BO2" s="193">
        <v>30</v>
      </c>
      <c r="BP2" s="194">
        <v>32</v>
      </c>
      <c r="BQ2" s="195">
        <v>33</v>
      </c>
      <c r="BR2" s="195">
        <v>34</v>
      </c>
      <c r="BS2" s="196">
        <v>35</v>
      </c>
      <c r="BT2" s="192">
        <v>35</v>
      </c>
      <c r="BU2" s="192">
        <v>36</v>
      </c>
      <c r="BV2" s="192">
        <v>37</v>
      </c>
      <c r="BW2" s="192">
        <v>38</v>
      </c>
      <c r="BX2" s="192">
        <v>39</v>
      </c>
      <c r="BY2" s="192">
        <v>40</v>
      </c>
      <c r="BZ2" s="192">
        <v>10</v>
      </c>
      <c r="CA2" s="192">
        <v>42</v>
      </c>
      <c r="CB2" s="192">
        <v>43</v>
      </c>
      <c r="CC2" s="192">
        <v>44</v>
      </c>
    </row>
    <row r="3" spans="1:95" ht="14.25" customHeight="1" x14ac:dyDescent="0.2">
      <c r="A3" s="10" t="s">
        <v>60</v>
      </c>
      <c r="B3" s="41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308"/>
      <c r="AI3" s="48"/>
      <c r="AJ3" s="48"/>
      <c r="AK3" s="191"/>
      <c r="AL3" s="191"/>
      <c r="AM3" s="191"/>
      <c r="AN3" s="191"/>
      <c r="AO3" s="191"/>
      <c r="AP3" s="191"/>
      <c r="AQ3" s="191"/>
      <c r="AR3" s="191"/>
      <c r="AS3" s="191"/>
      <c r="AT3" s="191"/>
      <c r="AU3" s="191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197"/>
      <c r="BK3" s="197"/>
      <c r="BL3" s="197"/>
      <c r="BM3" s="197"/>
      <c r="BN3" s="197"/>
      <c r="BO3" s="197"/>
      <c r="BP3" s="198"/>
      <c r="BQ3" s="198"/>
      <c r="BR3" s="198"/>
      <c r="BS3" s="198"/>
      <c r="BT3" s="48"/>
      <c r="BU3" s="48"/>
      <c r="BV3" s="48"/>
      <c r="BW3" s="48"/>
      <c r="BX3" s="48"/>
      <c r="BY3" s="48"/>
      <c r="BZ3" s="48"/>
      <c r="CA3" s="48"/>
      <c r="CB3" s="48"/>
      <c r="CC3" s="48"/>
    </row>
    <row r="4" spans="1:95" ht="14.25" customHeight="1" x14ac:dyDescent="0.2">
      <c r="A4" s="10" t="s">
        <v>60</v>
      </c>
      <c r="B4" s="41"/>
      <c r="T4" s="190"/>
      <c r="U4" s="190"/>
      <c r="V4" s="190"/>
      <c r="W4" s="190"/>
      <c r="X4" s="190"/>
      <c r="Y4" s="190"/>
      <c r="Z4" s="190"/>
      <c r="AA4" s="190"/>
      <c r="AB4" s="190"/>
      <c r="AC4" s="190"/>
      <c r="AD4" s="190"/>
      <c r="AE4" s="190"/>
      <c r="AF4" s="190"/>
      <c r="AG4" s="190"/>
      <c r="AH4" s="308"/>
      <c r="AI4" s="48"/>
      <c r="AJ4" s="48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197"/>
      <c r="BK4" s="197"/>
      <c r="BL4" s="197"/>
      <c r="BM4" s="197"/>
      <c r="BN4" s="197"/>
      <c r="BO4" s="197"/>
      <c r="BP4" s="198"/>
      <c r="BQ4" s="198"/>
      <c r="BR4" s="198"/>
      <c r="BS4" s="198"/>
      <c r="BT4" s="48"/>
      <c r="BU4" s="48"/>
      <c r="BV4" s="48"/>
      <c r="BW4" s="48"/>
      <c r="BX4" s="48"/>
      <c r="BY4" s="48"/>
      <c r="BZ4" s="48"/>
      <c r="CA4" s="48"/>
      <c r="CB4" s="48"/>
      <c r="CC4" s="48"/>
    </row>
    <row r="5" spans="1:95" ht="13.2" thickBot="1" x14ac:dyDescent="0.25">
      <c r="A5" s="10" t="s">
        <v>60</v>
      </c>
      <c r="B5" s="41"/>
      <c r="T5" s="190"/>
      <c r="U5" s="190"/>
      <c r="V5" s="190"/>
      <c r="W5" s="190"/>
      <c r="X5" s="190"/>
      <c r="Y5" s="190"/>
      <c r="Z5" s="190"/>
      <c r="AA5" s="190"/>
      <c r="AB5" s="190"/>
      <c r="AC5" s="190"/>
      <c r="AD5" s="190"/>
      <c r="AE5" s="190"/>
      <c r="AF5" s="190"/>
      <c r="AG5" s="190"/>
      <c r="AH5" s="308"/>
      <c r="AI5" s="48"/>
      <c r="AJ5" s="190"/>
      <c r="AK5" s="199">
        <v>1</v>
      </c>
      <c r="AL5" s="199">
        <f t="shared" ref="AL5:AU5" si="0">AK5+1</f>
        <v>2</v>
      </c>
      <c r="AM5" s="199">
        <f t="shared" si="0"/>
        <v>3</v>
      </c>
      <c r="AN5" s="199">
        <f t="shared" si="0"/>
        <v>4</v>
      </c>
      <c r="AO5" s="199">
        <f t="shared" si="0"/>
        <v>5</v>
      </c>
      <c r="AP5" s="199">
        <f t="shared" si="0"/>
        <v>6</v>
      </c>
      <c r="AQ5" s="199">
        <f t="shared" si="0"/>
        <v>7</v>
      </c>
      <c r="AR5" s="199">
        <f t="shared" si="0"/>
        <v>8</v>
      </c>
      <c r="AS5" s="199">
        <f t="shared" si="0"/>
        <v>9</v>
      </c>
      <c r="AT5" s="199">
        <f t="shared" si="0"/>
        <v>10</v>
      </c>
      <c r="AU5" s="199">
        <f t="shared" si="0"/>
        <v>11</v>
      </c>
      <c r="AV5" s="48"/>
    </row>
    <row r="6" spans="1:95" ht="13.2" thickBot="1" x14ac:dyDescent="0.25">
      <c r="A6" s="10" t="s">
        <v>60</v>
      </c>
      <c r="B6" s="306"/>
      <c r="C6" s="200"/>
      <c r="D6" s="389"/>
      <c r="E6" s="390"/>
      <c r="F6" s="390"/>
      <c r="G6" s="390"/>
      <c r="H6" s="390"/>
      <c r="I6" s="390"/>
      <c r="J6" s="390"/>
      <c r="K6" s="390"/>
      <c r="L6" s="390"/>
      <c r="M6" s="390"/>
      <c r="N6" s="390"/>
      <c r="O6" s="390"/>
      <c r="P6" s="390"/>
      <c r="Q6" s="390"/>
      <c r="R6" s="201"/>
      <c r="S6" s="200"/>
      <c r="T6" s="391" t="s">
        <v>95</v>
      </c>
      <c r="U6" s="392"/>
      <c r="V6" s="202" t="s">
        <v>2</v>
      </c>
      <c r="W6" s="203"/>
      <c r="X6" s="204"/>
      <c r="Y6" s="203"/>
      <c r="Z6" s="203"/>
      <c r="AA6" s="203"/>
      <c r="AB6" s="203"/>
      <c r="AC6" s="203"/>
      <c r="AD6" s="205" t="b">
        <v>0</v>
      </c>
      <c r="AE6" s="203"/>
      <c r="AF6" s="203"/>
      <c r="AG6" s="203"/>
      <c r="AH6" s="307"/>
      <c r="AI6" s="48"/>
      <c r="AJ6" s="190"/>
      <c r="AK6" s="206" t="s">
        <v>6</v>
      </c>
      <c r="AL6" s="206"/>
      <c r="AM6" s="206"/>
      <c r="AN6" s="206"/>
      <c r="AO6" s="206"/>
      <c r="AP6" s="206"/>
      <c r="AQ6" s="206"/>
      <c r="AR6" s="206"/>
      <c r="AS6" s="206"/>
      <c r="AT6" s="206"/>
      <c r="AU6" s="206"/>
      <c r="AV6" s="48"/>
      <c r="AW6" s="207"/>
      <c r="AX6" s="208" t="s">
        <v>11</v>
      </c>
      <c r="AY6" s="209"/>
      <c r="AZ6" s="210" t="s">
        <v>12</v>
      </c>
      <c r="BA6" s="207"/>
      <c r="BB6" s="211" t="s">
        <v>13</v>
      </c>
      <c r="BC6" s="211" t="s">
        <v>14</v>
      </c>
      <c r="BD6" s="212"/>
      <c r="BE6" s="213" t="s">
        <v>38</v>
      </c>
      <c r="BF6" s="214"/>
      <c r="BG6" s="211" t="s">
        <v>39</v>
      </c>
      <c r="BH6" s="215"/>
      <c r="BI6" s="216" t="s">
        <v>40</v>
      </c>
      <c r="BJ6" s="217"/>
      <c r="BK6" s="218" t="s">
        <v>41</v>
      </c>
      <c r="BL6" s="215" t="s">
        <v>33</v>
      </c>
      <c r="BM6" s="214"/>
      <c r="BN6" s="219"/>
      <c r="BO6" s="220" t="s">
        <v>50</v>
      </c>
      <c r="BP6" s="221" t="s">
        <v>42</v>
      </c>
      <c r="BQ6" s="222" t="s">
        <v>43</v>
      </c>
      <c r="BR6" s="222" t="s">
        <v>44</v>
      </c>
      <c r="BS6" s="222" t="s">
        <v>45</v>
      </c>
      <c r="BT6" s="36" t="s">
        <v>25</v>
      </c>
      <c r="BU6" s="36" t="s">
        <v>26</v>
      </c>
      <c r="BV6" s="36" t="s">
        <v>27</v>
      </c>
      <c r="BW6" s="36" t="s">
        <v>28</v>
      </c>
      <c r="BX6" s="36" t="s">
        <v>29</v>
      </c>
      <c r="BY6" s="36" t="s">
        <v>30</v>
      </c>
      <c r="BZ6" s="36" t="s">
        <v>31</v>
      </c>
      <c r="CA6" s="36" t="s">
        <v>32</v>
      </c>
      <c r="CB6" s="36" t="s">
        <v>33</v>
      </c>
      <c r="CC6" s="36" t="s">
        <v>34</v>
      </c>
    </row>
    <row r="7" spans="1:95" s="223" customFormat="1" ht="45.75" customHeight="1" thickBot="1" x14ac:dyDescent="0.25">
      <c r="A7" s="223" t="s">
        <v>60</v>
      </c>
      <c r="B7" s="224" t="s">
        <v>17</v>
      </c>
      <c r="C7" s="225" t="s">
        <v>109</v>
      </c>
      <c r="D7" s="224" t="s">
        <v>107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 t="s">
        <v>110</v>
      </c>
      <c r="S7" s="224" t="s">
        <v>54</v>
      </c>
      <c r="T7" s="224" t="s">
        <v>56</v>
      </c>
      <c r="U7" s="224" t="s">
        <v>111</v>
      </c>
      <c r="V7" s="224" t="s">
        <v>112</v>
      </c>
      <c r="W7" s="224" t="s">
        <v>113</v>
      </c>
      <c r="X7" s="329" t="s">
        <v>62</v>
      </c>
      <c r="Y7" s="224" t="s">
        <v>51</v>
      </c>
      <c r="Z7" s="226" t="s">
        <v>62</v>
      </c>
      <c r="AA7" s="224" t="s">
        <v>87</v>
      </c>
      <c r="AB7" s="226" t="s">
        <v>114</v>
      </c>
      <c r="AC7" s="224" t="s">
        <v>89</v>
      </c>
      <c r="AD7" s="224" t="s">
        <v>115</v>
      </c>
      <c r="AE7" s="329" t="s">
        <v>116</v>
      </c>
      <c r="AF7" s="329" t="s">
        <v>88</v>
      </c>
      <c r="AG7" s="224" t="s">
        <v>18</v>
      </c>
      <c r="AH7" s="224" t="s">
        <v>52</v>
      </c>
      <c r="AI7" s="227" t="s">
        <v>53</v>
      </c>
      <c r="AJ7" s="228" t="s">
        <v>57</v>
      </c>
      <c r="AK7" s="229" t="str">
        <f t="shared" ref="AK7:AU7" si="1">CONCATENATE(AK5," faixa ")</f>
        <v xml:space="preserve">1 faixa </v>
      </c>
      <c r="AL7" s="229" t="str">
        <f t="shared" si="1"/>
        <v xml:space="preserve">2 faixa </v>
      </c>
      <c r="AM7" s="229" t="str">
        <f t="shared" si="1"/>
        <v xml:space="preserve">3 faixa </v>
      </c>
      <c r="AN7" s="229" t="str">
        <f t="shared" si="1"/>
        <v xml:space="preserve">4 faixa </v>
      </c>
      <c r="AO7" s="229" t="str">
        <f t="shared" si="1"/>
        <v xml:space="preserve">5 faixa </v>
      </c>
      <c r="AP7" s="229" t="str">
        <f t="shared" si="1"/>
        <v xml:space="preserve">6 faixa </v>
      </c>
      <c r="AQ7" s="229" t="str">
        <f t="shared" si="1"/>
        <v xml:space="preserve">7 faixa </v>
      </c>
      <c r="AR7" s="229" t="str">
        <f t="shared" si="1"/>
        <v xml:space="preserve">8 faixa </v>
      </c>
      <c r="AS7" s="229" t="str">
        <f t="shared" si="1"/>
        <v xml:space="preserve">9 faixa </v>
      </c>
      <c r="AT7" s="229" t="str">
        <f t="shared" si="1"/>
        <v xml:space="preserve">10 faixa </v>
      </c>
      <c r="AU7" s="229" t="str">
        <f t="shared" si="1"/>
        <v xml:space="preserve">11 faixa </v>
      </c>
      <c r="AV7" s="230"/>
      <c r="AW7" s="231" t="s">
        <v>35</v>
      </c>
      <c r="AX7" s="232" t="s">
        <v>36</v>
      </c>
      <c r="AY7" s="231" t="s">
        <v>35</v>
      </c>
      <c r="AZ7" s="232" t="s">
        <v>36</v>
      </c>
      <c r="BA7" s="231" t="s">
        <v>35</v>
      </c>
      <c r="BB7" s="232" t="s">
        <v>36</v>
      </c>
      <c r="BC7" s="231" t="s">
        <v>36</v>
      </c>
      <c r="BD7" s="231" t="s">
        <v>35</v>
      </c>
      <c r="BE7" s="231" t="s">
        <v>36</v>
      </c>
      <c r="BF7" s="231" t="s">
        <v>35</v>
      </c>
      <c r="BG7" s="231" t="s">
        <v>36</v>
      </c>
      <c r="BH7" s="231" t="s">
        <v>35</v>
      </c>
      <c r="BI7" s="231" t="s">
        <v>36</v>
      </c>
      <c r="BJ7" s="231" t="s">
        <v>35</v>
      </c>
      <c r="BK7" s="231" t="s">
        <v>36</v>
      </c>
      <c r="BL7" s="231" t="s">
        <v>35</v>
      </c>
      <c r="BM7" s="231" t="s">
        <v>36</v>
      </c>
      <c r="BN7" s="231" t="s">
        <v>35</v>
      </c>
      <c r="BO7" s="231" t="s">
        <v>36</v>
      </c>
      <c r="BP7" s="233" t="s">
        <v>46</v>
      </c>
      <c r="BQ7" s="233" t="s">
        <v>47</v>
      </c>
      <c r="BR7" s="233" t="s">
        <v>48</v>
      </c>
      <c r="BS7" s="234" t="s">
        <v>49</v>
      </c>
      <c r="BT7" s="235" t="s">
        <v>37</v>
      </c>
      <c r="BU7" s="235" t="s">
        <v>37</v>
      </c>
      <c r="BV7" s="235" t="s">
        <v>37</v>
      </c>
      <c r="BW7" s="235" t="s">
        <v>37</v>
      </c>
      <c r="BX7" s="235" t="s">
        <v>37</v>
      </c>
      <c r="BY7" s="235" t="s">
        <v>37</v>
      </c>
      <c r="BZ7" s="235" t="s">
        <v>37</v>
      </c>
      <c r="CA7" s="235" t="s">
        <v>37</v>
      </c>
      <c r="CB7" s="235" t="s">
        <v>37</v>
      </c>
      <c r="CC7" s="235" t="s">
        <v>37</v>
      </c>
      <c r="CD7" s="236" t="s">
        <v>18</v>
      </c>
    </row>
    <row r="8" spans="1:95" x14ac:dyDescent="0.2">
      <c r="A8" s="10" t="e">
        <f t="shared" ref="A8:A39" si="2">IF(B8&lt;&gt;"","sim","não")</f>
        <v>#REF!</v>
      </c>
      <c r="B8" s="39" t="e">
        <f>#REF!</f>
        <v>#REF!</v>
      </c>
      <c r="C8" s="38">
        <f>'LEVANTAMENTO DADOS'!B5</f>
        <v>0</v>
      </c>
      <c r="D8" s="63" t="e">
        <f>'BASE DE CALCULO IR'!W8</f>
        <v>#REF!</v>
      </c>
      <c r="E8" s="63"/>
      <c r="F8" s="60"/>
      <c r="G8" s="63"/>
      <c r="H8" s="63"/>
      <c r="I8" s="63"/>
      <c r="J8" s="63"/>
      <c r="K8" s="237"/>
      <c r="L8" s="61"/>
      <c r="M8" s="237"/>
      <c r="N8" s="60"/>
      <c r="O8" s="238"/>
      <c r="P8" s="60"/>
      <c r="Q8" s="239"/>
      <c r="R8" s="239" t="e">
        <f t="shared" ref="R8:R39" si="3">SUM(C8:Q8)</f>
        <v>#REF!</v>
      </c>
      <c r="S8" s="240" t="e">
        <f t="shared" ref="S8:S39" si="4">IF(C8&lt;&gt;"",C8+R8,R8)</f>
        <v>#REF!</v>
      </c>
      <c r="T8" s="241"/>
      <c r="U8" s="63" t="e">
        <f t="shared" ref="U8:U39" si="5">IF(B8&lt;&gt;"",AI8*T8,"")</f>
        <v>#REF!</v>
      </c>
      <c r="V8" s="63" t="e">
        <f>#REF!</f>
        <v>#REF!</v>
      </c>
      <c r="W8" s="63" t="e">
        <f t="shared" ref="W8:W39" si="6">IF(C8&lt;&gt;"",IF(AND(AE8&gt;0,R8&gt;0),S8-U8-V8,IF(AI8&lt;&gt;"",R8-U8-V8)),IF(C8="",IF(AI8&lt;&gt;"",R8-U8-V8)))</f>
        <v>#REF!</v>
      </c>
      <c r="X8" s="242" t="e">
        <f t="shared" ref="X8:X39" si="7">SUM(D8:Q8)-U8-V8</f>
        <v>#REF!</v>
      </c>
      <c r="Y8" s="34" t="e">
        <f>AW8</f>
        <v>#REF!</v>
      </c>
      <c r="Z8" s="34" t="e">
        <f t="shared" ref="Z8:Z39" si="8">X8</f>
        <v>#REF!</v>
      </c>
      <c r="AA8" s="177" t="e">
        <f t="shared" ref="AA8:AA39" si="9">IF(B8&lt;&gt;"",IF(R8&gt;Y8,LOOKUP(R8,AW8:BO8,AW8:BS8),""),"")</f>
        <v>#REF!</v>
      </c>
      <c r="AB8" s="243" t="e">
        <f t="shared" ref="AB8:AB39" si="10">IF(W8&gt;Y8,X8*AA8,0)</f>
        <v>#REF!</v>
      </c>
      <c r="AC8" s="244" t="e">
        <f t="shared" ref="AC8:AC39" si="11">IF(B8&lt;&gt;"",MAX(AK8:AU8),"")</f>
        <v>#REF!</v>
      </c>
      <c r="AD8" s="244" t="e">
        <f t="shared" ref="AD8:AD39" si="12">IF(AA8&lt;&gt;"",(X8*AA8)-AC8,"ISENTO")</f>
        <v>#REF!</v>
      </c>
      <c r="AE8" s="245"/>
      <c r="AF8" s="245" t="e">
        <f t="shared" ref="AF8:AF39" si="13">IF(AD8&lt;&gt;"isento",AD8-AE8,0)</f>
        <v>#REF!</v>
      </c>
      <c r="AG8" s="173" t="e">
        <f t="shared" ref="AG8:AG39" si="14">CD8</f>
        <v>#REF!</v>
      </c>
      <c r="AH8" s="51" t="e">
        <f t="shared" ref="AH8:AH39" si="15">IF(AF8&gt;0,AF8*CD8,0)</f>
        <v>#REF!</v>
      </c>
      <c r="AI8" s="63" t="e">
        <f>IF(B8&lt;&gt;"",VLOOKUP(B8,'[9]IRR MES'!$C$15:$AK$600,32),"")</f>
        <v>#REF!</v>
      </c>
      <c r="AJ8" s="246" t="e">
        <f t="shared" ref="AJ8:AJ39" si="16">B8</f>
        <v>#REF!</v>
      </c>
      <c r="AK8" s="181" t="e">
        <f t="shared" ref="AK8:AK39" si="17">IF(B8&lt;&gt;"",IF(AA8=AX8,BT8,""),"")</f>
        <v>#REF!</v>
      </c>
      <c r="AL8" s="181" t="e">
        <f t="shared" ref="AL8:AL39" si="18">IF(B8&lt;&gt;"",IF(AA8=AZ8,BU8,""),"")</f>
        <v>#REF!</v>
      </c>
      <c r="AM8" s="181" t="e">
        <f t="shared" ref="AM8:AM39" si="19">IF(B8&lt;&gt;"",IF(AA8=BB8,BV8,""),"")</f>
        <v>#REF!</v>
      </c>
      <c r="AN8" s="181" t="e">
        <f t="shared" ref="AN8:AN39" si="20">IF(B8&lt;&gt;"",IF(AA8=BC8,BW8,""),"")</f>
        <v>#REF!</v>
      </c>
      <c r="AO8" s="181" t="e">
        <f t="shared" ref="AO8:AO39" si="21">IF(B8&lt;&gt;"",IF(AA8=BE8,BX8,""),"")</f>
        <v>#REF!</v>
      </c>
      <c r="AP8" s="181" t="e">
        <f t="shared" ref="AP8:AP39" si="22">IF(B8&lt;&gt;"",IF(AA8=BG8,BY8,""),"")</f>
        <v>#REF!</v>
      </c>
      <c r="AQ8" s="181" t="e">
        <f t="shared" ref="AQ8:AQ39" si="23">IF(B8&lt;&gt;"",IF(AA8=BI8,BZ8,""),"")</f>
        <v>#REF!</v>
      </c>
      <c r="AR8" s="181" t="e">
        <f t="shared" ref="AR8:AR39" si="24">IF(B8&lt;&gt;"",IF(AA8=BK8,CA8,""),"")</f>
        <v>#REF!</v>
      </c>
      <c r="AS8" s="181" t="e">
        <f t="shared" ref="AS8:AS39" si="25">IF(B8&lt;&gt;"",IF(AA8=BM8,CB8,""),"")</f>
        <v>#REF!</v>
      </c>
      <c r="AT8" s="181" t="e">
        <f t="shared" ref="AT8:AT39" si="26">IF(B8&lt;&gt;"",IF(AA8=BO8,CC8,""),"")</f>
        <v>#REF!</v>
      </c>
      <c r="AU8" s="181"/>
      <c r="AV8" s="63"/>
      <c r="AW8" s="181" t="e">
        <f>IF(B8&lt;&gt;"",VLOOKUP(B8,'[9]IRR MES'!$C$5:$AK$600,2),"")</f>
        <v>#REF!</v>
      </c>
      <c r="AX8" s="247" t="e">
        <f>IF(B8&lt;&gt;"",VLOOKUP(B8,'[9]IRR MES'!$C$5:$AK$600,3),"")</f>
        <v>#REF!</v>
      </c>
      <c r="AY8" s="181" t="e">
        <f>IF(B8&lt;&gt;"",VLOOKUP(B8,'[9]IRR MES'!$C$5:$AK$600,5),"")</f>
        <v>#REF!</v>
      </c>
      <c r="AZ8" s="247" t="e">
        <f>IF(B8&lt;&gt;"",VLOOKUP(B8,'[9]IRR MES'!$C$5:$AK$600,6),"")</f>
        <v>#REF!</v>
      </c>
      <c r="BA8" s="181" t="e">
        <f>IF(B8&lt;&gt;"",VLOOKUP(B8,'[9]IRR MES'!$C$5:$AK$600,8),"")</f>
        <v>#REF!</v>
      </c>
      <c r="BB8" s="247" t="e">
        <f>IF(B8&lt;&gt;"",VLOOKUP(B8,'[9]IRR MES'!$C$5:$AK$600,9),"")</f>
        <v>#REF!</v>
      </c>
      <c r="BC8" s="247" t="e">
        <f>IF(B8&lt;&gt;"",VLOOKUP(B8,'[9]IRR MES'!$C$5:$AK$600,12),"")</f>
        <v>#REF!</v>
      </c>
      <c r="BD8" s="181" t="e">
        <f>IF(B8&lt;&gt;"",VLOOKUP(B8,'[9]IRR MES'!$C$5:$AK$600,14),"")</f>
        <v>#REF!</v>
      </c>
      <c r="BE8" s="247" t="e">
        <f>IF(B8&lt;&gt;"",VLOOKUP(B8,'[9]IRR MES'!$C$5:$AK$600,15),"")</f>
        <v>#REF!</v>
      </c>
      <c r="BF8" s="181" t="e">
        <f>IF(B8&lt;&gt;"",VLOOKUP(B8,'[9]IRR MES'!$C$5:$AK$600,17),"")</f>
        <v>#REF!</v>
      </c>
      <c r="BG8" s="247" t="e">
        <f>IF(B8&lt;&gt;"",VLOOKUP(B8,'[9]IRR MES'!$C$5:$AK$600,18),"")</f>
        <v>#REF!</v>
      </c>
      <c r="BH8" s="181" t="e">
        <f>IF(B8&lt;&gt;"",VLOOKUP(B8,'[9]IRR MES'!$C$5:$AK$600,20),"")</f>
        <v>#REF!</v>
      </c>
      <c r="BI8" s="247" t="e">
        <f>IF(B8&lt;&gt;"",VLOOKUP(B8,'[9]IRR MES'!$C$5:$AK$600,21),"")</f>
        <v>#REF!</v>
      </c>
      <c r="BJ8" s="181" t="e">
        <f>IF(B8&lt;&gt;"",VLOOKUP(B8,'[9]IRR MES'!$C$5:$AK$600,23),"")</f>
        <v>#REF!</v>
      </c>
      <c r="BK8" s="247" t="e">
        <f>IF(B8&lt;&gt;"",VLOOKUP(B8,'[9]IRR MES'!$C$5:$AK$600,24),"")</f>
        <v>#REF!</v>
      </c>
      <c r="BL8" s="181" t="e">
        <f>IF(B8&lt;&gt;"",VLOOKUP(B8,'[9]IRR MES'!$C$5:$AK$600,26),"")</f>
        <v>#REF!</v>
      </c>
      <c r="BM8" s="247" t="e">
        <f>IF(B8&lt;&gt;"",VLOOKUP(B8,'[9]IRR MES'!$C$5:$AK$600,27),"")</f>
        <v>#REF!</v>
      </c>
      <c r="BN8" s="181" t="e">
        <f>IF(B8&lt;&gt;"",VLOOKUP(B8,'[9]IRR MES'!$C$5:$AK$600,29),"")</f>
        <v>#REF!</v>
      </c>
      <c r="BO8" s="247" t="e">
        <f>IF(B8&lt;&gt;"",VLOOKUP(B8,'[9]IRR MES'!$C$5:$AK$600,30),"")</f>
        <v>#REF!</v>
      </c>
      <c r="BP8" s="181" t="e">
        <f>IF(B8&lt;&gt;"",VLOOKUP(B8,'[9]IRR MES'!$C$5:$AK$600,32),"")</f>
        <v>#REF!</v>
      </c>
      <c r="BQ8" s="181" t="e">
        <f>IF(B8&lt;&gt;"",VLOOKUP(B8,'[9]IRR MES'!$C$5:$AK$600,33),"")</f>
        <v>#REF!</v>
      </c>
      <c r="BR8" s="181" t="e">
        <f t="shared" ref="BR8:BR39" si="27">IF(B8&lt;&gt;"",VLOOKUP(B8,$D$5:$AO$611,34),"")</f>
        <v>#REF!</v>
      </c>
      <c r="BS8" s="181" t="e">
        <f>IF(B8&lt;&gt;"",VLOOKUP(B8,'[9]IRR MES'!$C$5:$AK$600,34),"")</f>
        <v>#REF!</v>
      </c>
      <c r="BT8" s="248" t="e">
        <f>IF(B8&lt;&gt;"",VLOOKUP(B8,'[9]IRR MES'!$C$1:$AK$600,4),"")</f>
        <v>#REF!</v>
      </c>
      <c r="BU8" s="248" t="e">
        <f>IF(B8&lt;&gt;"",VLOOKUP(B8,'[9]IRR MES'!$C$1:$AK$600,7),"")</f>
        <v>#REF!</v>
      </c>
      <c r="BV8" s="248" t="e">
        <f>IF(B8&lt;&gt;"",VLOOKUP(B8,'[9]IRR MES'!$C$1:$AK$600,10),"")</f>
        <v>#REF!</v>
      </c>
      <c r="BW8" s="248" t="e">
        <f>IF(B8&lt;&gt;"",VLOOKUP(B8,'[9]IRR MES'!$C$1:$AK$600,13),"")</f>
        <v>#REF!</v>
      </c>
      <c r="BX8" s="248" t="e">
        <f>IF(B8&lt;&gt;"",VLOOKUP(B8,'[9]IRR MES'!$C$1:$AK$600,16),"")</f>
        <v>#REF!</v>
      </c>
      <c r="BY8" s="248" t="e">
        <f>IF(B8&lt;&gt;"",VLOOKUP(B8,'[9]IRR MES'!$C$1:$AK$600,19),"")</f>
        <v>#REF!</v>
      </c>
      <c r="BZ8" s="248" t="e">
        <f>IF(B8&lt;&gt;"",VLOOKUP(B8,'[9]IRR MES'!$C$1:$AK$600,22),"")</f>
        <v>#REF!</v>
      </c>
      <c r="CA8" s="248" t="e">
        <f>IF(B8&lt;&gt;"",VLOOKUP(B8,'[9]IRR MES'!$C$1:$AK$600,25),"")</f>
        <v>#REF!</v>
      </c>
      <c r="CB8" s="248" t="e">
        <f>IF(B8&lt;&gt;"",VLOOKUP(B8,'[9]IRR MES'!$C$1:$AK$600,28),"")</f>
        <v>#REF!</v>
      </c>
      <c r="CC8" s="248" t="e">
        <f>IF(B8&lt;&gt;"",VLOOKUP(B8,'[9]IRR MES'!$C$1:$AK$600,31),"")</f>
        <v>#REF!</v>
      </c>
      <c r="CD8" s="249" t="e">
        <f>#REF!</f>
        <v>#REF!</v>
      </c>
    </row>
    <row r="9" spans="1:95" x14ac:dyDescent="0.2">
      <c r="A9" s="10" t="e">
        <f t="shared" si="2"/>
        <v>#REF!</v>
      </c>
      <c r="B9" s="50" t="e">
        <f>#REF!</f>
        <v>#REF!</v>
      </c>
      <c r="C9" s="38">
        <f>'LEVANTAMENTO DADOS'!B6</f>
        <v>0</v>
      </c>
      <c r="D9" s="63" t="e">
        <f>'BASE DE CALCULO IR'!W9</f>
        <v>#REF!</v>
      </c>
      <c r="E9" s="63"/>
      <c r="F9" s="60"/>
      <c r="G9" s="63"/>
      <c r="H9" s="63"/>
      <c r="I9" s="63"/>
      <c r="J9" s="63"/>
      <c r="K9" s="61"/>
      <c r="L9" s="61"/>
      <c r="M9" s="61"/>
      <c r="N9" s="60"/>
      <c r="O9" s="60"/>
      <c r="P9" s="60"/>
      <c r="Q9" s="62"/>
      <c r="R9" s="62" t="e">
        <f t="shared" si="3"/>
        <v>#REF!</v>
      </c>
      <c r="S9" s="63" t="e">
        <f t="shared" si="4"/>
        <v>#REF!</v>
      </c>
      <c r="T9" s="250"/>
      <c r="U9" s="63" t="e">
        <f t="shared" si="5"/>
        <v>#REF!</v>
      </c>
      <c r="V9" s="63" t="e">
        <f>#REF!</f>
        <v>#REF!</v>
      </c>
      <c r="W9" s="63" t="e">
        <f t="shared" si="6"/>
        <v>#REF!</v>
      </c>
      <c r="X9" s="242" t="e">
        <f t="shared" si="7"/>
        <v>#REF!</v>
      </c>
      <c r="Y9" s="34" t="e">
        <f t="shared" ref="Y9:Y67" si="28">AW9</f>
        <v>#REF!</v>
      </c>
      <c r="Z9" s="34" t="e">
        <f t="shared" si="8"/>
        <v>#REF!</v>
      </c>
      <c r="AA9" s="176" t="e">
        <f t="shared" si="9"/>
        <v>#REF!</v>
      </c>
      <c r="AB9" s="11" t="e">
        <f t="shared" si="10"/>
        <v>#REF!</v>
      </c>
      <c r="AC9" s="245" t="e">
        <f t="shared" si="11"/>
        <v>#REF!</v>
      </c>
      <c r="AD9" s="245" t="e">
        <f t="shared" si="12"/>
        <v>#REF!</v>
      </c>
      <c r="AE9" s="245"/>
      <c r="AF9" s="245" t="e">
        <f t="shared" si="13"/>
        <v>#REF!</v>
      </c>
      <c r="AG9" s="173" t="e">
        <f t="shared" si="14"/>
        <v>#REF!</v>
      </c>
      <c r="AH9" s="51" t="e">
        <f t="shared" si="15"/>
        <v>#REF!</v>
      </c>
      <c r="AI9" s="63" t="e">
        <f>IF(B9&lt;&gt;"",VLOOKUP(B9,'[9]IRR MES'!$C$15:$AK$600,32),"")</f>
        <v>#REF!</v>
      </c>
      <c r="AJ9" s="246" t="e">
        <f t="shared" si="16"/>
        <v>#REF!</v>
      </c>
      <c r="AK9" s="181" t="e">
        <f t="shared" si="17"/>
        <v>#REF!</v>
      </c>
      <c r="AL9" s="181" t="e">
        <f t="shared" si="18"/>
        <v>#REF!</v>
      </c>
      <c r="AM9" s="181" t="e">
        <f t="shared" si="19"/>
        <v>#REF!</v>
      </c>
      <c r="AN9" s="181" t="e">
        <f t="shared" si="20"/>
        <v>#REF!</v>
      </c>
      <c r="AO9" s="181" t="e">
        <f t="shared" si="21"/>
        <v>#REF!</v>
      </c>
      <c r="AP9" s="181" t="e">
        <f t="shared" si="22"/>
        <v>#REF!</v>
      </c>
      <c r="AQ9" s="181" t="e">
        <f t="shared" si="23"/>
        <v>#REF!</v>
      </c>
      <c r="AR9" s="181" t="e">
        <f t="shared" si="24"/>
        <v>#REF!</v>
      </c>
      <c r="AS9" s="181" t="e">
        <f t="shared" si="25"/>
        <v>#REF!</v>
      </c>
      <c r="AT9" s="181" t="e">
        <f t="shared" si="26"/>
        <v>#REF!</v>
      </c>
      <c r="AU9" s="181"/>
      <c r="AV9" s="63"/>
      <c r="AW9" s="181" t="e">
        <f>IF(B9&lt;&gt;"",VLOOKUP(B9,'[9]IRR MES'!$C$5:$AK$600,2),"")</f>
        <v>#REF!</v>
      </c>
      <c r="AX9" s="247" t="e">
        <f>IF(B9&lt;&gt;"",VLOOKUP(B9,'[9]IRR MES'!$C$5:$AK$600,3),"")</f>
        <v>#REF!</v>
      </c>
      <c r="AY9" s="181" t="e">
        <f>IF(B9&lt;&gt;"",VLOOKUP(B9,'[9]IRR MES'!$C$5:$AK$600,5),"")</f>
        <v>#REF!</v>
      </c>
      <c r="AZ9" s="247" t="e">
        <f>IF(B9&lt;&gt;"",VLOOKUP(B9,'[9]IRR MES'!$C$5:$AK$600,6),"")</f>
        <v>#REF!</v>
      </c>
      <c r="BA9" s="181" t="e">
        <f>IF(B9&lt;&gt;"",VLOOKUP(B9,'[9]IRR MES'!$C$5:$AK$600,8),"")</f>
        <v>#REF!</v>
      </c>
      <c r="BB9" s="247" t="e">
        <f>IF(B9&lt;&gt;"",VLOOKUP(B9,'[9]IRR MES'!$C$5:$AK$600,9),"")</f>
        <v>#REF!</v>
      </c>
      <c r="BC9" s="247" t="e">
        <f>IF(B9&lt;&gt;"",VLOOKUP(B9,'[9]IRR MES'!$C$5:$AK$600,12),"")</f>
        <v>#REF!</v>
      </c>
      <c r="BD9" s="181" t="e">
        <f>IF(B9&lt;&gt;"",VLOOKUP(B9,'[9]IRR MES'!$C$5:$AK$600,14),"")</f>
        <v>#REF!</v>
      </c>
      <c r="BE9" s="247" t="e">
        <f>IF(B9&lt;&gt;"",VLOOKUP(B9,'[9]IRR MES'!$C$5:$AK$600,15),"")</f>
        <v>#REF!</v>
      </c>
      <c r="BF9" s="181" t="e">
        <f>IF(B9&lt;&gt;"",VLOOKUP(B9,'[9]IRR MES'!$C$5:$AK$600,17),"")</f>
        <v>#REF!</v>
      </c>
      <c r="BG9" s="247" t="e">
        <f>IF(B9&lt;&gt;"",VLOOKUP(B9,'[9]IRR MES'!$C$5:$AK$600,18),"")</f>
        <v>#REF!</v>
      </c>
      <c r="BH9" s="181" t="e">
        <f>IF(B9&lt;&gt;"",VLOOKUP(B9,'[9]IRR MES'!$C$5:$AK$600,20),"")</f>
        <v>#REF!</v>
      </c>
      <c r="BI9" s="247" t="e">
        <f>IF(B9&lt;&gt;"",VLOOKUP(B9,'[9]IRR MES'!$C$5:$AK$600,21),"")</f>
        <v>#REF!</v>
      </c>
      <c r="BJ9" s="181" t="e">
        <f>IF(B9&lt;&gt;"",VLOOKUP(B9,'[9]IRR MES'!$C$5:$AK$600,23),"")</f>
        <v>#REF!</v>
      </c>
      <c r="BK9" s="247" t="e">
        <f>IF(B9&lt;&gt;"",VLOOKUP(B9,'[9]IRR MES'!$C$5:$AK$600,24),"")</f>
        <v>#REF!</v>
      </c>
      <c r="BL9" s="181" t="e">
        <f>IF(B9&lt;&gt;"",VLOOKUP(B9,'[9]IRR MES'!$C$5:$AK$600,26),"")</f>
        <v>#REF!</v>
      </c>
      <c r="BM9" s="247" t="e">
        <f>IF(B9&lt;&gt;"",VLOOKUP(B9,'[9]IRR MES'!$C$5:$AK$600,27),"")</f>
        <v>#REF!</v>
      </c>
      <c r="BN9" s="181" t="e">
        <f>IF(B9&lt;&gt;"",VLOOKUP(B9,'[9]IRR MES'!$C$5:$AK$600,29),"")</f>
        <v>#REF!</v>
      </c>
      <c r="BO9" s="247" t="e">
        <f>IF(B9&lt;&gt;"",VLOOKUP(B9,'[9]IRR MES'!$C$5:$AK$600,30),"")</f>
        <v>#REF!</v>
      </c>
      <c r="BP9" s="181" t="e">
        <f>IF(B9&lt;&gt;"",VLOOKUP(B9,'[9]IRR MES'!$C$5:$AK$600,32),"")</f>
        <v>#REF!</v>
      </c>
      <c r="BQ9" s="181" t="e">
        <f>IF(B9&lt;&gt;"",VLOOKUP(B9,'[9]IRR MES'!$C$5:$AK$600,33),"")</f>
        <v>#REF!</v>
      </c>
      <c r="BR9" s="181" t="e">
        <f t="shared" si="27"/>
        <v>#REF!</v>
      </c>
      <c r="BS9" s="181" t="e">
        <f>IF(B9&lt;&gt;"",VLOOKUP(B9,'[9]IRR MES'!$C$5:$AK$600,34),"")</f>
        <v>#REF!</v>
      </c>
      <c r="BT9" s="248" t="e">
        <f>IF(B9&lt;&gt;"",VLOOKUP(B9,'[9]IRR MES'!$C$1:$AK$600,4),"")</f>
        <v>#REF!</v>
      </c>
      <c r="BU9" s="248" t="e">
        <f>IF(B9&lt;&gt;"",VLOOKUP(B9,'[9]IRR MES'!$C$1:$AK$600,7),"")</f>
        <v>#REF!</v>
      </c>
      <c r="BV9" s="248" t="e">
        <f>IF(B9&lt;&gt;"",VLOOKUP(B9,'[9]IRR MES'!$C$1:$AK$600,10),"")</f>
        <v>#REF!</v>
      </c>
      <c r="BW9" s="248" t="e">
        <f>IF(B9&lt;&gt;"",VLOOKUP(B9,'[9]IRR MES'!$C$1:$AK$600,13),"")</f>
        <v>#REF!</v>
      </c>
      <c r="BX9" s="248" t="e">
        <f>IF(B9&lt;&gt;"",VLOOKUP(B9,'[9]IRR MES'!$C$1:$AK$600,16),"")</f>
        <v>#REF!</v>
      </c>
      <c r="BY9" s="248" t="e">
        <f>IF(B9&lt;&gt;"",VLOOKUP(B9,'[9]IRR MES'!$C$1:$AK$600,19),"")</f>
        <v>#REF!</v>
      </c>
      <c r="BZ9" s="248" t="e">
        <f>IF(B9&lt;&gt;"",VLOOKUP(B9,'[9]IRR MES'!$C$1:$AK$600,22),"")</f>
        <v>#REF!</v>
      </c>
      <c r="CA9" s="248" t="e">
        <f>IF(B9&lt;&gt;"",VLOOKUP(B9,'[9]IRR MES'!$C$1:$AK$600,25),"")</f>
        <v>#REF!</v>
      </c>
      <c r="CB9" s="248" t="e">
        <f>IF(B9&lt;&gt;"",VLOOKUP(B9,'[9]IRR MES'!$C$1:$AK$600,28),"")</f>
        <v>#REF!</v>
      </c>
      <c r="CC9" s="248" t="e">
        <f>IF(B9&lt;&gt;"",VLOOKUP(B9,'[9]IRR MES'!$C$1:$AK$600,31),"")</f>
        <v>#REF!</v>
      </c>
      <c r="CD9" s="249" t="e">
        <f>#REF!</f>
        <v>#REF!</v>
      </c>
    </row>
    <row r="10" spans="1:95" x14ac:dyDescent="0.2">
      <c r="A10" s="10" t="e">
        <f t="shared" si="2"/>
        <v>#REF!</v>
      </c>
      <c r="B10" s="50" t="e">
        <f>#REF!</f>
        <v>#REF!</v>
      </c>
      <c r="C10" s="38">
        <f>'LEVANTAMENTO DADOS'!B7</f>
        <v>0</v>
      </c>
      <c r="D10" s="63" t="e">
        <f>'BASE DE CALCULO IR'!W10</f>
        <v>#REF!</v>
      </c>
      <c r="E10" s="63"/>
      <c r="F10" s="60"/>
      <c r="G10" s="63"/>
      <c r="H10" s="63"/>
      <c r="I10" s="63"/>
      <c r="J10" s="63"/>
      <c r="K10" s="61"/>
      <c r="L10" s="61"/>
      <c r="M10" s="61"/>
      <c r="N10" s="60"/>
      <c r="O10" s="60"/>
      <c r="P10" s="60"/>
      <c r="Q10" s="62"/>
      <c r="R10" s="62" t="e">
        <f t="shared" si="3"/>
        <v>#REF!</v>
      </c>
      <c r="S10" s="63" t="e">
        <f t="shared" si="4"/>
        <v>#REF!</v>
      </c>
      <c r="T10" s="250"/>
      <c r="U10" s="63" t="e">
        <f t="shared" si="5"/>
        <v>#REF!</v>
      </c>
      <c r="V10" s="63" t="e">
        <f>#REF!</f>
        <v>#REF!</v>
      </c>
      <c r="W10" s="63" t="e">
        <f t="shared" si="6"/>
        <v>#REF!</v>
      </c>
      <c r="X10" s="242" t="e">
        <f t="shared" si="7"/>
        <v>#REF!</v>
      </c>
      <c r="Y10" s="34" t="e">
        <f t="shared" si="28"/>
        <v>#REF!</v>
      </c>
      <c r="Z10" s="34" t="e">
        <f t="shared" si="8"/>
        <v>#REF!</v>
      </c>
      <c r="AA10" s="176" t="e">
        <f t="shared" si="9"/>
        <v>#REF!</v>
      </c>
      <c r="AB10" s="11" t="e">
        <f t="shared" si="10"/>
        <v>#REF!</v>
      </c>
      <c r="AC10" s="245" t="e">
        <f t="shared" si="11"/>
        <v>#REF!</v>
      </c>
      <c r="AD10" s="245" t="e">
        <f t="shared" si="12"/>
        <v>#REF!</v>
      </c>
      <c r="AE10" s="245"/>
      <c r="AF10" s="245" t="e">
        <f t="shared" si="13"/>
        <v>#REF!</v>
      </c>
      <c r="AG10" s="173" t="e">
        <f t="shared" si="14"/>
        <v>#REF!</v>
      </c>
      <c r="AH10" s="51" t="e">
        <f t="shared" si="15"/>
        <v>#REF!</v>
      </c>
      <c r="AI10" s="63" t="e">
        <f>IF(B10&lt;&gt;"",VLOOKUP(B10,'[9]IRR MES'!$C$15:$AK$600,32),"")</f>
        <v>#REF!</v>
      </c>
      <c r="AJ10" s="246" t="e">
        <f t="shared" si="16"/>
        <v>#REF!</v>
      </c>
      <c r="AK10" s="181" t="e">
        <f t="shared" si="17"/>
        <v>#REF!</v>
      </c>
      <c r="AL10" s="181" t="e">
        <f t="shared" si="18"/>
        <v>#REF!</v>
      </c>
      <c r="AM10" s="181" t="e">
        <f t="shared" si="19"/>
        <v>#REF!</v>
      </c>
      <c r="AN10" s="181" t="e">
        <f t="shared" si="20"/>
        <v>#REF!</v>
      </c>
      <c r="AO10" s="181" t="e">
        <f t="shared" si="21"/>
        <v>#REF!</v>
      </c>
      <c r="AP10" s="181" t="e">
        <f t="shared" si="22"/>
        <v>#REF!</v>
      </c>
      <c r="AQ10" s="181" t="e">
        <f t="shared" si="23"/>
        <v>#REF!</v>
      </c>
      <c r="AR10" s="181" t="e">
        <f t="shared" si="24"/>
        <v>#REF!</v>
      </c>
      <c r="AS10" s="181" t="e">
        <f t="shared" si="25"/>
        <v>#REF!</v>
      </c>
      <c r="AT10" s="181" t="e">
        <f t="shared" si="26"/>
        <v>#REF!</v>
      </c>
      <c r="AU10" s="181"/>
      <c r="AV10" s="63"/>
      <c r="AW10" s="181" t="e">
        <f>IF(B10&lt;&gt;"",VLOOKUP(B10,'[9]IRR MES'!$C$5:$AK$600,2),"")</f>
        <v>#REF!</v>
      </c>
      <c r="AX10" s="247" t="e">
        <f>IF(B10&lt;&gt;"",VLOOKUP(B10,'[9]IRR MES'!$C$5:$AK$600,3),"")</f>
        <v>#REF!</v>
      </c>
      <c r="AY10" s="181" t="e">
        <f>IF(B10&lt;&gt;"",VLOOKUP(B10,'[9]IRR MES'!$C$5:$AK$600,5),"")</f>
        <v>#REF!</v>
      </c>
      <c r="AZ10" s="247" t="e">
        <f>IF(B10&lt;&gt;"",VLOOKUP(B10,'[9]IRR MES'!$C$5:$AK$600,6),"")</f>
        <v>#REF!</v>
      </c>
      <c r="BA10" s="181" t="e">
        <f>IF(B10&lt;&gt;"",VLOOKUP(B10,'[9]IRR MES'!$C$5:$AK$600,8),"")</f>
        <v>#REF!</v>
      </c>
      <c r="BB10" s="247" t="e">
        <f>IF(B10&lt;&gt;"",VLOOKUP(B10,'[9]IRR MES'!$C$5:$AK$600,9),"")</f>
        <v>#REF!</v>
      </c>
      <c r="BC10" s="247" t="e">
        <f>IF(B10&lt;&gt;"",VLOOKUP(B10,'[9]IRR MES'!$C$5:$AK$600,12),"")</f>
        <v>#REF!</v>
      </c>
      <c r="BD10" s="181" t="e">
        <f>IF(B10&lt;&gt;"",VLOOKUP(B10,'[9]IRR MES'!$C$5:$AK$600,14),"")</f>
        <v>#REF!</v>
      </c>
      <c r="BE10" s="247" t="e">
        <f>IF(B10&lt;&gt;"",VLOOKUP(B10,'[9]IRR MES'!$C$5:$AK$600,15),"")</f>
        <v>#REF!</v>
      </c>
      <c r="BF10" s="181" t="e">
        <f>IF(B10&lt;&gt;"",VLOOKUP(B10,'[9]IRR MES'!$C$5:$AK$600,17),"")</f>
        <v>#REF!</v>
      </c>
      <c r="BG10" s="247" t="e">
        <f>IF(B10&lt;&gt;"",VLOOKUP(B10,'[9]IRR MES'!$C$5:$AK$600,18),"")</f>
        <v>#REF!</v>
      </c>
      <c r="BH10" s="181" t="e">
        <f>IF(B10&lt;&gt;"",VLOOKUP(B10,'[9]IRR MES'!$C$5:$AK$600,20),"")</f>
        <v>#REF!</v>
      </c>
      <c r="BI10" s="247" t="e">
        <f>IF(B10&lt;&gt;"",VLOOKUP(B10,'[9]IRR MES'!$C$5:$AK$600,21),"")</f>
        <v>#REF!</v>
      </c>
      <c r="BJ10" s="181" t="e">
        <f>IF(B10&lt;&gt;"",VLOOKUP(B10,'[9]IRR MES'!$C$5:$AK$600,23),"")</f>
        <v>#REF!</v>
      </c>
      <c r="BK10" s="247" t="e">
        <f>IF(B10&lt;&gt;"",VLOOKUP(B10,'[9]IRR MES'!$C$5:$AK$600,24),"")</f>
        <v>#REF!</v>
      </c>
      <c r="BL10" s="181" t="e">
        <f>IF(B10&lt;&gt;"",VLOOKUP(B10,'[9]IRR MES'!$C$5:$AK$600,26),"")</f>
        <v>#REF!</v>
      </c>
      <c r="BM10" s="247" t="e">
        <f>IF(B10&lt;&gt;"",VLOOKUP(B10,'[9]IRR MES'!$C$5:$AK$600,27),"")</f>
        <v>#REF!</v>
      </c>
      <c r="BN10" s="181" t="e">
        <f>IF(B10&lt;&gt;"",VLOOKUP(B10,'[9]IRR MES'!$C$5:$AK$600,29),"")</f>
        <v>#REF!</v>
      </c>
      <c r="BO10" s="247" t="e">
        <f>IF(B10&lt;&gt;"",VLOOKUP(B10,'[9]IRR MES'!$C$5:$AK$600,30),"")</f>
        <v>#REF!</v>
      </c>
      <c r="BP10" s="181" t="e">
        <f>IF(B10&lt;&gt;"",VLOOKUP(B10,'[9]IRR MES'!$C$5:$AK$600,32),"")</f>
        <v>#REF!</v>
      </c>
      <c r="BQ10" s="181" t="e">
        <f>IF(B10&lt;&gt;"",VLOOKUP(B10,'[9]IRR MES'!$C$5:$AK$600,33),"")</f>
        <v>#REF!</v>
      </c>
      <c r="BR10" s="181" t="e">
        <f t="shared" si="27"/>
        <v>#REF!</v>
      </c>
      <c r="BS10" s="181" t="e">
        <f>IF(B10&lt;&gt;"",VLOOKUP(B10,'[9]IRR MES'!$C$5:$AK$600,34),"")</f>
        <v>#REF!</v>
      </c>
      <c r="BT10" s="248" t="e">
        <f>IF(B10&lt;&gt;"",VLOOKUP(B10,'[9]IRR MES'!$C$1:$AK$600,4),"")</f>
        <v>#REF!</v>
      </c>
      <c r="BU10" s="248" t="e">
        <f>IF(B10&lt;&gt;"",VLOOKUP(B10,'[9]IRR MES'!$C$1:$AK$600,7),"")</f>
        <v>#REF!</v>
      </c>
      <c r="BV10" s="248" t="e">
        <f>IF(B10&lt;&gt;"",VLOOKUP(B10,'[9]IRR MES'!$C$1:$AK$600,10),"")</f>
        <v>#REF!</v>
      </c>
      <c r="BW10" s="248" t="e">
        <f>IF(B10&lt;&gt;"",VLOOKUP(B10,'[9]IRR MES'!$C$1:$AK$600,13),"")</f>
        <v>#REF!</v>
      </c>
      <c r="BX10" s="248" t="e">
        <f>IF(B10&lt;&gt;"",VLOOKUP(B10,'[9]IRR MES'!$C$1:$AK$600,16),"")</f>
        <v>#REF!</v>
      </c>
      <c r="BY10" s="248" t="e">
        <f>IF(B10&lt;&gt;"",VLOOKUP(B10,'[9]IRR MES'!$C$1:$AK$600,19),"")</f>
        <v>#REF!</v>
      </c>
      <c r="BZ10" s="248" t="e">
        <f>IF(B10&lt;&gt;"",VLOOKUP(B10,'[9]IRR MES'!$C$1:$AK$600,22),"")</f>
        <v>#REF!</v>
      </c>
      <c r="CA10" s="248" t="e">
        <f>IF(B10&lt;&gt;"",VLOOKUP(B10,'[9]IRR MES'!$C$1:$AK$600,25),"")</f>
        <v>#REF!</v>
      </c>
      <c r="CB10" s="248" t="e">
        <f>IF(B10&lt;&gt;"",VLOOKUP(B10,'[9]IRR MES'!$C$1:$AK$600,28),"")</f>
        <v>#REF!</v>
      </c>
      <c r="CC10" s="248" t="e">
        <f>IF(B10&lt;&gt;"",VLOOKUP(B10,'[9]IRR MES'!$C$1:$AK$600,31),"")</f>
        <v>#REF!</v>
      </c>
      <c r="CD10" s="249" t="e">
        <f>#REF!</f>
        <v>#REF!</v>
      </c>
    </row>
    <row r="11" spans="1:95" x14ac:dyDescent="0.2">
      <c r="A11" s="10" t="e">
        <f t="shared" si="2"/>
        <v>#REF!</v>
      </c>
      <c r="B11" s="50" t="e">
        <f>#REF!</f>
        <v>#REF!</v>
      </c>
      <c r="C11" s="38">
        <f>'LEVANTAMENTO DADOS'!B8</f>
        <v>0</v>
      </c>
      <c r="D11" s="63" t="e">
        <f>'BASE DE CALCULO IR'!W11</f>
        <v>#REF!</v>
      </c>
      <c r="E11" s="63"/>
      <c r="F11" s="60"/>
      <c r="G11" s="63"/>
      <c r="H11" s="63"/>
      <c r="I11" s="63"/>
      <c r="J11" s="63"/>
      <c r="K11" s="61"/>
      <c r="L11" s="61"/>
      <c r="M11" s="61"/>
      <c r="N11" s="60"/>
      <c r="O11" s="60"/>
      <c r="P11" s="60"/>
      <c r="Q11" s="62"/>
      <c r="R11" s="62" t="e">
        <f t="shared" si="3"/>
        <v>#REF!</v>
      </c>
      <c r="S11" s="63" t="e">
        <f t="shared" si="4"/>
        <v>#REF!</v>
      </c>
      <c r="T11" s="250"/>
      <c r="U11" s="63" t="e">
        <f t="shared" si="5"/>
        <v>#REF!</v>
      </c>
      <c r="V11" s="63" t="e">
        <f>#REF!</f>
        <v>#REF!</v>
      </c>
      <c r="W11" s="63" t="e">
        <f t="shared" si="6"/>
        <v>#REF!</v>
      </c>
      <c r="X11" s="242" t="e">
        <f t="shared" si="7"/>
        <v>#REF!</v>
      </c>
      <c r="Y11" s="34" t="e">
        <f t="shared" si="28"/>
        <v>#REF!</v>
      </c>
      <c r="Z11" s="34" t="e">
        <f t="shared" si="8"/>
        <v>#REF!</v>
      </c>
      <c r="AA11" s="176" t="e">
        <f t="shared" si="9"/>
        <v>#REF!</v>
      </c>
      <c r="AB11" s="11" t="e">
        <f t="shared" si="10"/>
        <v>#REF!</v>
      </c>
      <c r="AC11" s="245" t="e">
        <f t="shared" si="11"/>
        <v>#REF!</v>
      </c>
      <c r="AD11" s="245" t="e">
        <f t="shared" si="12"/>
        <v>#REF!</v>
      </c>
      <c r="AE11" s="245"/>
      <c r="AF11" s="245" t="e">
        <f t="shared" si="13"/>
        <v>#REF!</v>
      </c>
      <c r="AG11" s="173" t="e">
        <f t="shared" si="14"/>
        <v>#REF!</v>
      </c>
      <c r="AH11" s="51" t="e">
        <f t="shared" si="15"/>
        <v>#REF!</v>
      </c>
      <c r="AI11" s="63" t="e">
        <f>IF(B11&lt;&gt;"",VLOOKUP(B11,'[9]IRR MES'!$C$15:$AK$600,32),"")</f>
        <v>#REF!</v>
      </c>
      <c r="AJ11" s="246" t="e">
        <f t="shared" si="16"/>
        <v>#REF!</v>
      </c>
      <c r="AK11" s="181" t="e">
        <f t="shared" si="17"/>
        <v>#REF!</v>
      </c>
      <c r="AL11" s="181" t="e">
        <f t="shared" si="18"/>
        <v>#REF!</v>
      </c>
      <c r="AM11" s="181" t="e">
        <f t="shared" si="19"/>
        <v>#REF!</v>
      </c>
      <c r="AN11" s="181" t="e">
        <f t="shared" si="20"/>
        <v>#REF!</v>
      </c>
      <c r="AO11" s="181" t="e">
        <f t="shared" si="21"/>
        <v>#REF!</v>
      </c>
      <c r="AP11" s="181" t="e">
        <f t="shared" si="22"/>
        <v>#REF!</v>
      </c>
      <c r="AQ11" s="181" t="e">
        <f t="shared" si="23"/>
        <v>#REF!</v>
      </c>
      <c r="AR11" s="181" t="e">
        <f t="shared" si="24"/>
        <v>#REF!</v>
      </c>
      <c r="AS11" s="181" t="e">
        <f t="shared" si="25"/>
        <v>#REF!</v>
      </c>
      <c r="AT11" s="181" t="e">
        <f t="shared" si="26"/>
        <v>#REF!</v>
      </c>
      <c r="AU11" s="181"/>
      <c r="AV11" s="63"/>
      <c r="AW11" s="181" t="e">
        <f>IF(B11&lt;&gt;"",VLOOKUP(B11,'[9]IRR MES'!$C$5:$AK$600,2),"")</f>
        <v>#REF!</v>
      </c>
      <c r="AX11" s="247" t="e">
        <f>IF(B11&lt;&gt;"",VLOOKUP(B11,'[9]IRR MES'!$C$5:$AK$600,3),"")</f>
        <v>#REF!</v>
      </c>
      <c r="AY11" s="181" t="e">
        <f>IF(B11&lt;&gt;"",VLOOKUP(B11,'[9]IRR MES'!$C$5:$AK$600,5),"")</f>
        <v>#REF!</v>
      </c>
      <c r="AZ11" s="247" t="e">
        <f>IF(B11&lt;&gt;"",VLOOKUP(B11,'[9]IRR MES'!$C$5:$AK$600,6),"")</f>
        <v>#REF!</v>
      </c>
      <c r="BA11" s="181" t="e">
        <f>IF(B11&lt;&gt;"",VLOOKUP(B11,'[9]IRR MES'!$C$5:$AK$600,8),"")</f>
        <v>#REF!</v>
      </c>
      <c r="BB11" s="247" t="e">
        <f>IF(B11&lt;&gt;"",VLOOKUP(B11,'[9]IRR MES'!$C$5:$AK$600,9),"")</f>
        <v>#REF!</v>
      </c>
      <c r="BC11" s="247" t="e">
        <f>IF(B11&lt;&gt;"",VLOOKUP(B11,'[9]IRR MES'!$C$5:$AK$600,12),"")</f>
        <v>#REF!</v>
      </c>
      <c r="BD11" s="181" t="e">
        <f>IF(B11&lt;&gt;"",VLOOKUP(B11,'[9]IRR MES'!$C$5:$AK$600,14),"")</f>
        <v>#REF!</v>
      </c>
      <c r="BE11" s="247" t="e">
        <f>IF(B11&lt;&gt;"",VLOOKUP(B11,'[9]IRR MES'!$C$5:$AK$600,15),"")</f>
        <v>#REF!</v>
      </c>
      <c r="BF11" s="181" t="e">
        <f>IF(B11&lt;&gt;"",VLOOKUP(B11,'[9]IRR MES'!$C$5:$AK$600,17),"")</f>
        <v>#REF!</v>
      </c>
      <c r="BG11" s="247" t="e">
        <f>IF(B11&lt;&gt;"",VLOOKUP(B11,'[9]IRR MES'!$C$5:$AK$600,18),"")</f>
        <v>#REF!</v>
      </c>
      <c r="BH11" s="181" t="e">
        <f>IF(B11&lt;&gt;"",VLOOKUP(B11,'[9]IRR MES'!$C$5:$AK$600,20),"")</f>
        <v>#REF!</v>
      </c>
      <c r="BI11" s="247" t="e">
        <f>IF(B11&lt;&gt;"",VLOOKUP(B11,'[9]IRR MES'!$C$5:$AK$600,21),"")</f>
        <v>#REF!</v>
      </c>
      <c r="BJ11" s="181" t="e">
        <f>IF(B11&lt;&gt;"",VLOOKUP(B11,'[9]IRR MES'!$C$5:$AK$600,23),"")</f>
        <v>#REF!</v>
      </c>
      <c r="BK11" s="247" t="e">
        <f>IF(B11&lt;&gt;"",VLOOKUP(B11,'[9]IRR MES'!$C$5:$AK$600,24),"")</f>
        <v>#REF!</v>
      </c>
      <c r="BL11" s="181" t="e">
        <f>IF(B11&lt;&gt;"",VLOOKUP(B11,'[9]IRR MES'!$C$5:$AK$600,26),"")</f>
        <v>#REF!</v>
      </c>
      <c r="BM11" s="247" t="e">
        <f>IF(B11&lt;&gt;"",VLOOKUP(B11,'[9]IRR MES'!$C$5:$AK$600,27),"")</f>
        <v>#REF!</v>
      </c>
      <c r="BN11" s="181" t="e">
        <f>IF(B11&lt;&gt;"",VLOOKUP(B11,'[9]IRR MES'!$C$5:$AK$600,29),"")</f>
        <v>#REF!</v>
      </c>
      <c r="BO11" s="247" t="e">
        <f>IF(B11&lt;&gt;"",VLOOKUP(B11,'[9]IRR MES'!$C$5:$AK$600,30),"")</f>
        <v>#REF!</v>
      </c>
      <c r="BP11" s="181" t="e">
        <f>IF(B11&lt;&gt;"",VLOOKUP(B11,'[9]IRR MES'!$C$5:$AK$600,32),"")</f>
        <v>#REF!</v>
      </c>
      <c r="BQ11" s="181" t="e">
        <f>IF(B11&lt;&gt;"",VLOOKUP(B11,'[9]IRR MES'!$C$5:$AK$600,33),"")</f>
        <v>#REF!</v>
      </c>
      <c r="BR11" s="181" t="e">
        <f t="shared" si="27"/>
        <v>#REF!</v>
      </c>
      <c r="BS11" s="181" t="e">
        <f>IF(B11&lt;&gt;"",VLOOKUP(B11,'[9]IRR MES'!$C$5:$AK$600,34),"")</f>
        <v>#REF!</v>
      </c>
      <c r="BT11" s="248" t="e">
        <f>IF(B11&lt;&gt;"",VLOOKUP(B11,'[9]IRR MES'!$C$1:$AK$600,4),"")</f>
        <v>#REF!</v>
      </c>
      <c r="BU11" s="248" t="e">
        <f>IF(B11&lt;&gt;"",VLOOKUP(B11,'[9]IRR MES'!$C$1:$AK$600,7),"")</f>
        <v>#REF!</v>
      </c>
      <c r="BV11" s="248" t="e">
        <f>IF(B11&lt;&gt;"",VLOOKUP(B11,'[9]IRR MES'!$C$1:$AK$600,10),"")</f>
        <v>#REF!</v>
      </c>
      <c r="BW11" s="248" t="e">
        <f>IF(B11&lt;&gt;"",VLOOKUP(B11,'[9]IRR MES'!$C$1:$AK$600,13),"")</f>
        <v>#REF!</v>
      </c>
      <c r="BX11" s="248" t="e">
        <f>IF(B11&lt;&gt;"",VLOOKUP(B11,'[9]IRR MES'!$C$1:$AK$600,16),"")</f>
        <v>#REF!</v>
      </c>
      <c r="BY11" s="248" t="e">
        <f>IF(B11&lt;&gt;"",VLOOKUP(B11,'[9]IRR MES'!$C$1:$AK$600,19),"")</f>
        <v>#REF!</v>
      </c>
      <c r="BZ11" s="248" t="e">
        <f>IF(B11&lt;&gt;"",VLOOKUP(B11,'[9]IRR MES'!$C$1:$AK$600,22),"")</f>
        <v>#REF!</v>
      </c>
      <c r="CA11" s="248" t="e">
        <f>IF(B11&lt;&gt;"",VLOOKUP(B11,'[9]IRR MES'!$C$1:$AK$600,25),"")</f>
        <v>#REF!</v>
      </c>
      <c r="CB11" s="248" t="e">
        <f>IF(B11&lt;&gt;"",VLOOKUP(B11,'[9]IRR MES'!$C$1:$AK$600,28),"")</f>
        <v>#REF!</v>
      </c>
      <c r="CC11" s="248" t="e">
        <f>IF(B11&lt;&gt;"",VLOOKUP(B11,'[9]IRR MES'!$C$1:$AK$600,31),"")</f>
        <v>#REF!</v>
      </c>
      <c r="CD11" s="249" t="e">
        <f>#REF!</f>
        <v>#REF!</v>
      </c>
    </row>
    <row r="12" spans="1:95" x14ac:dyDescent="0.2">
      <c r="A12" s="10" t="e">
        <f t="shared" si="2"/>
        <v>#REF!</v>
      </c>
      <c r="B12" s="50" t="e">
        <f>#REF!</f>
        <v>#REF!</v>
      </c>
      <c r="C12" s="38">
        <f>'LEVANTAMENTO DADOS'!B9</f>
        <v>0</v>
      </c>
      <c r="D12" s="63" t="e">
        <f>'BASE DE CALCULO IR'!W12</f>
        <v>#REF!</v>
      </c>
      <c r="E12" s="63"/>
      <c r="F12" s="60"/>
      <c r="G12" s="63"/>
      <c r="H12" s="63"/>
      <c r="I12" s="63"/>
      <c r="J12" s="63"/>
      <c r="K12" s="61"/>
      <c r="L12" s="61"/>
      <c r="M12" s="61"/>
      <c r="N12" s="60"/>
      <c r="O12" s="60"/>
      <c r="P12" s="60"/>
      <c r="Q12" s="62"/>
      <c r="R12" s="62" t="e">
        <f t="shared" si="3"/>
        <v>#REF!</v>
      </c>
      <c r="S12" s="63" t="e">
        <f t="shared" si="4"/>
        <v>#REF!</v>
      </c>
      <c r="T12" s="250"/>
      <c r="U12" s="63" t="e">
        <f t="shared" si="5"/>
        <v>#REF!</v>
      </c>
      <c r="V12" s="63" t="e">
        <f>#REF!</f>
        <v>#REF!</v>
      </c>
      <c r="W12" s="63" t="e">
        <f t="shared" si="6"/>
        <v>#REF!</v>
      </c>
      <c r="X12" s="242" t="e">
        <f t="shared" si="7"/>
        <v>#REF!</v>
      </c>
      <c r="Y12" s="34" t="e">
        <f t="shared" si="28"/>
        <v>#REF!</v>
      </c>
      <c r="Z12" s="34" t="e">
        <f t="shared" si="8"/>
        <v>#REF!</v>
      </c>
      <c r="AA12" s="176" t="e">
        <f t="shared" si="9"/>
        <v>#REF!</v>
      </c>
      <c r="AB12" s="11" t="e">
        <f t="shared" si="10"/>
        <v>#REF!</v>
      </c>
      <c r="AC12" s="245" t="e">
        <f t="shared" si="11"/>
        <v>#REF!</v>
      </c>
      <c r="AD12" s="245" t="e">
        <f t="shared" si="12"/>
        <v>#REF!</v>
      </c>
      <c r="AE12" s="245"/>
      <c r="AF12" s="245" t="e">
        <f t="shared" si="13"/>
        <v>#REF!</v>
      </c>
      <c r="AG12" s="173" t="e">
        <f t="shared" si="14"/>
        <v>#REF!</v>
      </c>
      <c r="AH12" s="51" t="e">
        <f t="shared" si="15"/>
        <v>#REF!</v>
      </c>
      <c r="AI12" s="63" t="e">
        <f>IF(B12&lt;&gt;"",VLOOKUP(B12,'[9]IRR MES'!$C$15:$AK$600,32),"")</f>
        <v>#REF!</v>
      </c>
      <c r="AJ12" s="246" t="e">
        <f t="shared" si="16"/>
        <v>#REF!</v>
      </c>
      <c r="AK12" s="181" t="e">
        <f t="shared" si="17"/>
        <v>#REF!</v>
      </c>
      <c r="AL12" s="181" t="e">
        <f t="shared" si="18"/>
        <v>#REF!</v>
      </c>
      <c r="AM12" s="181" t="e">
        <f t="shared" si="19"/>
        <v>#REF!</v>
      </c>
      <c r="AN12" s="181" t="e">
        <f t="shared" si="20"/>
        <v>#REF!</v>
      </c>
      <c r="AO12" s="181" t="e">
        <f t="shared" si="21"/>
        <v>#REF!</v>
      </c>
      <c r="AP12" s="181" t="e">
        <f t="shared" si="22"/>
        <v>#REF!</v>
      </c>
      <c r="AQ12" s="181" t="e">
        <f t="shared" si="23"/>
        <v>#REF!</v>
      </c>
      <c r="AR12" s="181" t="e">
        <f t="shared" si="24"/>
        <v>#REF!</v>
      </c>
      <c r="AS12" s="181" t="e">
        <f t="shared" si="25"/>
        <v>#REF!</v>
      </c>
      <c r="AT12" s="181" t="e">
        <f t="shared" si="26"/>
        <v>#REF!</v>
      </c>
      <c r="AU12" s="181"/>
      <c r="AV12" s="63"/>
      <c r="AW12" s="181" t="e">
        <f>IF(B12&lt;&gt;"",VLOOKUP(B12,'[9]IRR MES'!$C$5:$AK$600,2),"")</f>
        <v>#REF!</v>
      </c>
      <c r="AX12" s="247" t="e">
        <f>IF(B12&lt;&gt;"",VLOOKUP(B12,'[9]IRR MES'!$C$5:$AK$600,3),"")</f>
        <v>#REF!</v>
      </c>
      <c r="AY12" s="181" t="e">
        <f>IF(B12&lt;&gt;"",VLOOKUP(B12,'[9]IRR MES'!$C$5:$AK$600,5),"")</f>
        <v>#REF!</v>
      </c>
      <c r="AZ12" s="247" t="e">
        <f>IF(B12&lt;&gt;"",VLOOKUP(B12,'[9]IRR MES'!$C$5:$AK$600,6),"")</f>
        <v>#REF!</v>
      </c>
      <c r="BA12" s="181" t="e">
        <f>IF(B12&lt;&gt;"",VLOOKUP(B12,'[9]IRR MES'!$C$5:$AK$600,8),"")</f>
        <v>#REF!</v>
      </c>
      <c r="BB12" s="247" t="e">
        <f>IF(B12&lt;&gt;"",VLOOKUP(B12,'[9]IRR MES'!$C$5:$AK$600,9),"")</f>
        <v>#REF!</v>
      </c>
      <c r="BC12" s="247" t="e">
        <f>IF(B12&lt;&gt;"",VLOOKUP(B12,'[9]IRR MES'!$C$5:$AK$600,12),"")</f>
        <v>#REF!</v>
      </c>
      <c r="BD12" s="181" t="e">
        <f>IF(B12&lt;&gt;"",VLOOKUP(B12,'[9]IRR MES'!$C$5:$AK$600,14),"")</f>
        <v>#REF!</v>
      </c>
      <c r="BE12" s="247" t="e">
        <f>IF(B12&lt;&gt;"",VLOOKUP(B12,'[9]IRR MES'!$C$5:$AK$600,15),"")</f>
        <v>#REF!</v>
      </c>
      <c r="BF12" s="181" t="e">
        <f>IF(B12&lt;&gt;"",VLOOKUP(B12,'[9]IRR MES'!$C$5:$AK$600,17),"")</f>
        <v>#REF!</v>
      </c>
      <c r="BG12" s="247" t="e">
        <f>IF(B12&lt;&gt;"",VLOOKUP(B12,'[9]IRR MES'!$C$5:$AK$600,18),"")</f>
        <v>#REF!</v>
      </c>
      <c r="BH12" s="181" t="e">
        <f>IF(B12&lt;&gt;"",VLOOKUP(B12,'[9]IRR MES'!$C$5:$AK$600,20),"")</f>
        <v>#REF!</v>
      </c>
      <c r="BI12" s="247" t="e">
        <f>IF(B12&lt;&gt;"",VLOOKUP(B12,'[9]IRR MES'!$C$5:$AK$600,21),"")</f>
        <v>#REF!</v>
      </c>
      <c r="BJ12" s="181" t="e">
        <f>IF(B12&lt;&gt;"",VLOOKUP(B12,'[9]IRR MES'!$C$5:$AK$600,23),"")</f>
        <v>#REF!</v>
      </c>
      <c r="BK12" s="247" t="e">
        <f>IF(B12&lt;&gt;"",VLOOKUP(B12,'[9]IRR MES'!$C$5:$AK$600,24),"")</f>
        <v>#REF!</v>
      </c>
      <c r="BL12" s="181" t="e">
        <f>IF(B12&lt;&gt;"",VLOOKUP(B12,'[9]IRR MES'!$C$5:$AK$600,26),"")</f>
        <v>#REF!</v>
      </c>
      <c r="BM12" s="247" t="e">
        <f>IF(B12&lt;&gt;"",VLOOKUP(B12,'[9]IRR MES'!$C$5:$AK$600,27),"")</f>
        <v>#REF!</v>
      </c>
      <c r="BN12" s="181" t="e">
        <f>IF(B12&lt;&gt;"",VLOOKUP(B12,'[9]IRR MES'!$C$5:$AK$600,29),"")</f>
        <v>#REF!</v>
      </c>
      <c r="BO12" s="247" t="e">
        <f>IF(B12&lt;&gt;"",VLOOKUP(B12,'[9]IRR MES'!$C$5:$AK$600,30),"")</f>
        <v>#REF!</v>
      </c>
      <c r="BP12" s="181" t="e">
        <f>IF(B12&lt;&gt;"",VLOOKUP(B12,'[9]IRR MES'!$C$5:$AK$600,32),"")</f>
        <v>#REF!</v>
      </c>
      <c r="BQ12" s="181" t="e">
        <f>IF(B12&lt;&gt;"",VLOOKUP(B12,'[9]IRR MES'!$C$5:$AK$600,33),"")</f>
        <v>#REF!</v>
      </c>
      <c r="BR12" s="181" t="e">
        <f t="shared" si="27"/>
        <v>#REF!</v>
      </c>
      <c r="BS12" s="181" t="e">
        <f>IF(B12&lt;&gt;"",VLOOKUP(B12,'[9]IRR MES'!$C$5:$AK$600,34),"")</f>
        <v>#REF!</v>
      </c>
      <c r="BT12" s="248" t="e">
        <f>IF(B12&lt;&gt;"",VLOOKUP(B12,'[9]IRR MES'!$C$1:$AK$600,4),"")</f>
        <v>#REF!</v>
      </c>
      <c r="BU12" s="248" t="e">
        <f>IF(B12&lt;&gt;"",VLOOKUP(B12,'[9]IRR MES'!$C$1:$AK$600,7),"")</f>
        <v>#REF!</v>
      </c>
      <c r="BV12" s="248" t="e">
        <f>IF(B12&lt;&gt;"",VLOOKUP(B12,'[9]IRR MES'!$C$1:$AK$600,10),"")</f>
        <v>#REF!</v>
      </c>
      <c r="BW12" s="248" t="e">
        <f>IF(B12&lt;&gt;"",VLOOKUP(B12,'[9]IRR MES'!$C$1:$AK$600,13),"")</f>
        <v>#REF!</v>
      </c>
      <c r="BX12" s="248" t="e">
        <f>IF(B12&lt;&gt;"",VLOOKUP(B12,'[9]IRR MES'!$C$1:$AK$600,16),"")</f>
        <v>#REF!</v>
      </c>
      <c r="BY12" s="248" t="e">
        <f>IF(B12&lt;&gt;"",VLOOKUP(B12,'[9]IRR MES'!$C$1:$AK$600,19),"")</f>
        <v>#REF!</v>
      </c>
      <c r="BZ12" s="248" t="e">
        <f>IF(B12&lt;&gt;"",VLOOKUP(B12,'[9]IRR MES'!$C$1:$AK$600,22),"")</f>
        <v>#REF!</v>
      </c>
      <c r="CA12" s="248" t="e">
        <f>IF(B12&lt;&gt;"",VLOOKUP(B12,'[9]IRR MES'!$C$1:$AK$600,25),"")</f>
        <v>#REF!</v>
      </c>
      <c r="CB12" s="248" t="e">
        <f>IF(B12&lt;&gt;"",VLOOKUP(B12,'[9]IRR MES'!$C$1:$AK$600,28),"")</f>
        <v>#REF!</v>
      </c>
      <c r="CC12" s="248" t="e">
        <f>IF(B12&lt;&gt;"",VLOOKUP(B12,'[9]IRR MES'!$C$1:$AK$600,31),"")</f>
        <v>#REF!</v>
      </c>
      <c r="CD12" s="249" t="e">
        <f>#REF!</f>
        <v>#REF!</v>
      </c>
    </row>
    <row r="13" spans="1:95" x14ac:dyDescent="0.2">
      <c r="A13" s="10" t="e">
        <f t="shared" si="2"/>
        <v>#REF!</v>
      </c>
      <c r="B13" s="50" t="e">
        <f>#REF!</f>
        <v>#REF!</v>
      </c>
      <c r="C13" s="38">
        <f>'LEVANTAMENTO DADOS'!B10</f>
        <v>0</v>
      </c>
      <c r="D13" s="63" t="e">
        <f>'BASE DE CALCULO IR'!W13</f>
        <v>#REF!</v>
      </c>
      <c r="E13" s="63"/>
      <c r="F13" s="60"/>
      <c r="G13" s="63"/>
      <c r="H13" s="63"/>
      <c r="I13" s="63"/>
      <c r="J13" s="63"/>
      <c r="K13" s="61"/>
      <c r="L13" s="61"/>
      <c r="M13" s="61"/>
      <c r="N13" s="60"/>
      <c r="O13" s="60"/>
      <c r="P13" s="60"/>
      <c r="Q13" s="62"/>
      <c r="R13" s="62" t="e">
        <f t="shared" si="3"/>
        <v>#REF!</v>
      </c>
      <c r="S13" s="63" t="e">
        <f t="shared" si="4"/>
        <v>#REF!</v>
      </c>
      <c r="T13" s="250"/>
      <c r="U13" s="63" t="e">
        <f t="shared" si="5"/>
        <v>#REF!</v>
      </c>
      <c r="V13" s="63" t="e">
        <f>#REF!</f>
        <v>#REF!</v>
      </c>
      <c r="W13" s="63" t="e">
        <f t="shared" si="6"/>
        <v>#REF!</v>
      </c>
      <c r="X13" s="242" t="e">
        <f t="shared" si="7"/>
        <v>#REF!</v>
      </c>
      <c r="Y13" s="34" t="e">
        <f t="shared" si="28"/>
        <v>#REF!</v>
      </c>
      <c r="Z13" s="34" t="e">
        <f t="shared" si="8"/>
        <v>#REF!</v>
      </c>
      <c r="AA13" s="176" t="e">
        <f t="shared" si="9"/>
        <v>#REF!</v>
      </c>
      <c r="AB13" s="11" t="e">
        <f t="shared" si="10"/>
        <v>#REF!</v>
      </c>
      <c r="AC13" s="245" t="e">
        <f t="shared" si="11"/>
        <v>#REF!</v>
      </c>
      <c r="AD13" s="245" t="e">
        <f t="shared" si="12"/>
        <v>#REF!</v>
      </c>
      <c r="AE13" s="245"/>
      <c r="AF13" s="245" t="e">
        <f t="shared" si="13"/>
        <v>#REF!</v>
      </c>
      <c r="AG13" s="173" t="e">
        <f t="shared" si="14"/>
        <v>#REF!</v>
      </c>
      <c r="AH13" s="51" t="e">
        <f t="shared" si="15"/>
        <v>#REF!</v>
      </c>
      <c r="AI13" s="63" t="e">
        <f>IF(B13&lt;&gt;"",VLOOKUP(B13,'[9]IRR MES'!$C$15:$AK$600,32),"")</f>
        <v>#REF!</v>
      </c>
      <c r="AJ13" s="246" t="e">
        <f t="shared" si="16"/>
        <v>#REF!</v>
      </c>
      <c r="AK13" s="181" t="e">
        <f t="shared" si="17"/>
        <v>#REF!</v>
      </c>
      <c r="AL13" s="181" t="e">
        <f t="shared" si="18"/>
        <v>#REF!</v>
      </c>
      <c r="AM13" s="181" t="e">
        <f t="shared" si="19"/>
        <v>#REF!</v>
      </c>
      <c r="AN13" s="181" t="e">
        <f t="shared" si="20"/>
        <v>#REF!</v>
      </c>
      <c r="AO13" s="181" t="e">
        <f t="shared" si="21"/>
        <v>#REF!</v>
      </c>
      <c r="AP13" s="181" t="e">
        <f t="shared" si="22"/>
        <v>#REF!</v>
      </c>
      <c r="AQ13" s="181" t="e">
        <f t="shared" si="23"/>
        <v>#REF!</v>
      </c>
      <c r="AR13" s="181" t="e">
        <f t="shared" si="24"/>
        <v>#REF!</v>
      </c>
      <c r="AS13" s="181" t="e">
        <f t="shared" si="25"/>
        <v>#REF!</v>
      </c>
      <c r="AT13" s="181" t="e">
        <f t="shared" si="26"/>
        <v>#REF!</v>
      </c>
      <c r="AU13" s="181"/>
      <c r="AV13" s="63"/>
      <c r="AW13" s="181" t="e">
        <f>IF(B13&lt;&gt;"",VLOOKUP(B13,'[9]IRR MES'!$C$5:$AK$600,2),"")</f>
        <v>#REF!</v>
      </c>
      <c r="AX13" s="247" t="e">
        <f>IF(B13&lt;&gt;"",VLOOKUP(B13,'[9]IRR MES'!$C$5:$AK$600,3),"")</f>
        <v>#REF!</v>
      </c>
      <c r="AY13" s="181" t="e">
        <f>IF(B13&lt;&gt;"",VLOOKUP(B13,'[9]IRR MES'!$C$5:$AK$600,5),"")</f>
        <v>#REF!</v>
      </c>
      <c r="AZ13" s="247" t="e">
        <f>IF(B13&lt;&gt;"",VLOOKUP(B13,'[9]IRR MES'!$C$5:$AK$600,6),"")</f>
        <v>#REF!</v>
      </c>
      <c r="BA13" s="181" t="e">
        <f>IF(B13&lt;&gt;"",VLOOKUP(B13,'[9]IRR MES'!$C$5:$AK$600,8),"")</f>
        <v>#REF!</v>
      </c>
      <c r="BB13" s="247" t="e">
        <f>IF(B13&lt;&gt;"",VLOOKUP(B13,'[9]IRR MES'!$C$5:$AK$600,9),"")</f>
        <v>#REF!</v>
      </c>
      <c r="BC13" s="247" t="e">
        <f>IF(B13&lt;&gt;"",VLOOKUP(B13,'[9]IRR MES'!$C$5:$AK$600,12),"")</f>
        <v>#REF!</v>
      </c>
      <c r="BD13" s="181" t="e">
        <f>IF(B13&lt;&gt;"",VLOOKUP(B13,'[9]IRR MES'!$C$5:$AK$600,14),"")</f>
        <v>#REF!</v>
      </c>
      <c r="BE13" s="247" t="e">
        <f>IF(B13&lt;&gt;"",VLOOKUP(B13,'[9]IRR MES'!$C$5:$AK$600,15),"")</f>
        <v>#REF!</v>
      </c>
      <c r="BF13" s="181" t="e">
        <f>IF(B13&lt;&gt;"",VLOOKUP(B13,'[9]IRR MES'!$C$5:$AK$600,17),"")</f>
        <v>#REF!</v>
      </c>
      <c r="BG13" s="247" t="e">
        <f>IF(B13&lt;&gt;"",VLOOKUP(B13,'[9]IRR MES'!$C$5:$AK$600,18),"")</f>
        <v>#REF!</v>
      </c>
      <c r="BH13" s="181" t="e">
        <f>IF(B13&lt;&gt;"",VLOOKUP(B13,'[9]IRR MES'!$C$5:$AK$600,20),"")</f>
        <v>#REF!</v>
      </c>
      <c r="BI13" s="247" t="e">
        <f>IF(B13&lt;&gt;"",VLOOKUP(B13,'[9]IRR MES'!$C$5:$AK$600,21),"")</f>
        <v>#REF!</v>
      </c>
      <c r="BJ13" s="181" t="e">
        <f>IF(B13&lt;&gt;"",VLOOKUP(B13,'[9]IRR MES'!$C$5:$AK$600,23),"")</f>
        <v>#REF!</v>
      </c>
      <c r="BK13" s="247" t="e">
        <f>IF(B13&lt;&gt;"",VLOOKUP(B13,'[9]IRR MES'!$C$5:$AK$600,24),"")</f>
        <v>#REF!</v>
      </c>
      <c r="BL13" s="181" t="e">
        <f>IF(B13&lt;&gt;"",VLOOKUP(B13,'[9]IRR MES'!$C$5:$AK$600,26),"")</f>
        <v>#REF!</v>
      </c>
      <c r="BM13" s="247" t="e">
        <f>IF(B13&lt;&gt;"",VLOOKUP(B13,'[9]IRR MES'!$C$5:$AK$600,27),"")</f>
        <v>#REF!</v>
      </c>
      <c r="BN13" s="181" t="e">
        <f>IF(B13&lt;&gt;"",VLOOKUP(B13,'[9]IRR MES'!$C$5:$AK$600,29),"")</f>
        <v>#REF!</v>
      </c>
      <c r="BO13" s="247" t="e">
        <f>IF(B13&lt;&gt;"",VLOOKUP(B13,'[9]IRR MES'!$C$5:$AK$600,30),"")</f>
        <v>#REF!</v>
      </c>
      <c r="BP13" s="181" t="e">
        <f>IF(B13&lt;&gt;"",VLOOKUP(B13,'[9]IRR MES'!$C$5:$AK$600,32),"")</f>
        <v>#REF!</v>
      </c>
      <c r="BQ13" s="181" t="e">
        <f>IF(B13&lt;&gt;"",VLOOKUP(B13,'[9]IRR MES'!$C$5:$AK$600,33),"")</f>
        <v>#REF!</v>
      </c>
      <c r="BR13" s="181" t="e">
        <f t="shared" si="27"/>
        <v>#REF!</v>
      </c>
      <c r="BS13" s="181" t="e">
        <f>IF(B13&lt;&gt;"",VLOOKUP(B13,'[9]IRR MES'!$C$5:$AK$600,34),"")</f>
        <v>#REF!</v>
      </c>
      <c r="BT13" s="248" t="e">
        <f>IF(B13&lt;&gt;"",VLOOKUP(B13,'[9]IRR MES'!$C$1:$AK$600,4),"")</f>
        <v>#REF!</v>
      </c>
      <c r="BU13" s="248" t="e">
        <f>IF(B13&lt;&gt;"",VLOOKUP(B13,'[9]IRR MES'!$C$1:$AK$600,7),"")</f>
        <v>#REF!</v>
      </c>
      <c r="BV13" s="248" t="e">
        <f>IF(B13&lt;&gt;"",VLOOKUP(B13,'[9]IRR MES'!$C$1:$AK$600,10),"")</f>
        <v>#REF!</v>
      </c>
      <c r="BW13" s="248" t="e">
        <f>IF(B13&lt;&gt;"",VLOOKUP(B13,'[9]IRR MES'!$C$1:$AK$600,13),"")</f>
        <v>#REF!</v>
      </c>
      <c r="BX13" s="248" t="e">
        <f>IF(B13&lt;&gt;"",VLOOKUP(B13,'[9]IRR MES'!$C$1:$AK$600,16),"")</f>
        <v>#REF!</v>
      </c>
      <c r="BY13" s="248" t="e">
        <f>IF(B13&lt;&gt;"",VLOOKUP(B13,'[9]IRR MES'!$C$1:$AK$600,19),"")</f>
        <v>#REF!</v>
      </c>
      <c r="BZ13" s="248" t="e">
        <f>IF(B13&lt;&gt;"",VLOOKUP(B13,'[9]IRR MES'!$C$1:$AK$600,22),"")</f>
        <v>#REF!</v>
      </c>
      <c r="CA13" s="248" t="e">
        <f>IF(B13&lt;&gt;"",VLOOKUP(B13,'[9]IRR MES'!$C$1:$AK$600,25),"")</f>
        <v>#REF!</v>
      </c>
      <c r="CB13" s="248" t="e">
        <f>IF(B13&lt;&gt;"",VLOOKUP(B13,'[9]IRR MES'!$C$1:$AK$600,28),"")</f>
        <v>#REF!</v>
      </c>
      <c r="CC13" s="248" t="e">
        <f>IF(B13&lt;&gt;"",VLOOKUP(B13,'[9]IRR MES'!$C$1:$AK$600,31),"")</f>
        <v>#REF!</v>
      </c>
      <c r="CD13" s="249" t="e">
        <f>#REF!</f>
        <v>#REF!</v>
      </c>
    </row>
    <row r="14" spans="1:95" x14ac:dyDescent="0.2">
      <c r="A14" s="10" t="e">
        <f t="shared" si="2"/>
        <v>#REF!</v>
      </c>
      <c r="B14" s="50" t="e">
        <f>#REF!</f>
        <v>#REF!</v>
      </c>
      <c r="C14" s="38">
        <f>'LEVANTAMENTO DADOS'!B11</f>
        <v>0</v>
      </c>
      <c r="D14" s="63" t="e">
        <f>'BASE DE CALCULO IR'!W14</f>
        <v>#REF!</v>
      </c>
      <c r="E14" s="63"/>
      <c r="F14" s="60"/>
      <c r="G14" s="63"/>
      <c r="H14" s="63"/>
      <c r="I14" s="63"/>
      <c r="J14" s="63"/>
      <c r="K14" s="61"/>
      <c r="L14" s="61"/>
      <c r="M14" s="61"/>
      <c r="N14" s="60"/>
      <c r="O14" s="60"/>
      <c r="P14" s="60"/>
      <c r="Q14" s="62"/>
      <c r="R14" s="62" t="e">
        <f t="shared" si="3"/>
        <v>#REF!</v>
      </c>
      <c r="S14" s="63" t="e">
        <f t="shared" si="4"/>
        <v>#REF!</v>
      </c>
      <c r="T14" s="250"/>
      <c r="U14" s="63" t="e">
        <f t="shared" si="5"/>
        <v>#REF!</v>
      </c>
      <c r="V14" s="63" t="e">
        <f>#REF!</f>
        <v>#REF!</v>
      </c>
      <c r="W14" s="63" t="e">
        <f t="shared" si="6"/>
        <v>#REF!</v>
      </c>
      <c r="X14" s="242" t="e">
        <f t="shared" si="7"/>
        <v>#REF!</v>
      </c>
      <c r="Y14" s="34" t="e">
        <f t="shared" si="28"/>
        <v>#REF!</v>
      </c>
      <c r="Z14" s="34" t="e">
        <f t="shared" si="8"/>
        <v>#REF!</v>
      </c>
      <c r="AA14" s="176" t="e">
        <f t="shared" si="9"/>
        <v>#REF!</v>
      </c>
      <c r="AB14" s="11" t="e">
        <f t="shared" si="10"/>
        <v>#REF!</v>
      </c>
      <c r="AC14" s="245" t="e">
        <f t="shared" si="11"/>
        <v>#REF!</v>
      </c>
      <c r="AD14" s="245" t="e">
        <f t="shared" si="12"/>
        <v>#REF!</v>
      </c>
      <c r="AE14" s="245"/>
      <c r="AF14" s="245" t="e">
        <f t="shared" si="13"/>
        <v>#REF!</v>
      </c>
      <c r="AG14" s="173" t="e">
        <f t="shared" si="14"/>
        <v>#REF!</v>
      </c>
      <c r="AH14" s="51" t="e">
        <f t="shared" si="15"/>
        <v>#REF!</v>
      </c>
      <c r="AI14" s="63" t="e">
        <f>IF(B14&lt;&gt;"",VLOOKUP(B14,'[9]IRR MES'!$C$15:$AK$600,32),"")</f>
        <v>#REF!</v>
      </c>
      <c r="AJ14" s="246" t="e">
        <f t="shared" si="16"/>
        <v>#REF!</v>
      </c>
      <c r="AK14" s="181" t="e">
        <f t="shared" si="17"/>
        <v>#REF!</v>
      </c>
      <c r="AL14" s="181" t="e">
        <f t="shared" si="18"/>
        <v>#REF!</v>
      </c>
      <c r="AM14" s="181" t="e">
        <f t="shared" si="19"/>
        <v>#REF!</v>
      </c>
      <c r="AN14" s="181" t="e">
        <f t="shared" si="20"/>
        <v>#REF!</v>
      </c>
      <c r="AO14" s="181" t="e">
        <f t="shared" si="21"/>
        <v>#REF!</v>
      </c>
      <c r="AP14" s="181" t="e">
        <f t="shared" si="22"/>
        <v>#REF!</v>
      </c>
      <c r="AQ14" s="181" t="e">
        <f t="shared" si="23"/>
        <v>#REF!</v>
      </c>
      <c r="AR14" s="181" t="e">
        <f t="shared" si="24"/>
        <v>#REF!</v>
      </c>
      <c r="AS14" s="181" t="e">
        <f t="shared" si="25"/>
        <v>#REF!</v>
      </c>
      <c r="AT14" s="181" t="e">
        <f t="shared" si="26"/>
        <v>#REF!</v>
      </c>
      <c r="AU14" s="181"/>
      <c r="AV14" s="63"/>
      <c r="AW14" s="181" t="e">
        <f>IF(B14&lt;&gt;"",VLOOKUP(B14,'[9]IRR MES'!$C$5:$AK$600,2),"")</f>
        <v>#REF!</v>
      </c>
      <c r="AX14" s="247" t="e">
        <f>IF(B14&lt;&gt;"",VLOOKUP(B14,'[9]IRR MES'!$C$5:$AK$600,3),"")</f>
        <v>#REF!</v>
      </c>
      <c r="AY14" s="181" t="e">
        <f>IF(B14&lt;&gt;"",VLOOKUP(B14,'[9]IRR MES'!$C$5:$AK$600,5),"")</f>
        <v>#REF!</v>
      </c>
      <c r="AZ14" s="247" t="e">
        <f>IF(B14&lt;&gt;"",VLOOKUP(B14,'[9]IRR MES'!$C$5:$AK$600,6),"")</f>
        <v>#REF!</v>
      </c>
      <c r="BA14" s="181" t="e">
        <f>IF(B14&lt;&gt;"",VLOOKUP(B14,'[9]IRR MES'!$C$5:$AK$600,8),"")</f>
        <v>#REF!</v>
      </c>
      <c r="BB14" s="247" t="e">
        <f>IF(B14&lt;&gt;"",VLOOKUP(B14,'[9]IRR MES'!$C$5:$AK$600,9),"")</f>
        <v>#REF!</v>
      </c>
      <c r="BC14" s="247" t="e">
        <f>IF(B14&lt;&gt;"",VLOOKUP(B14,'[9]IRR MES'!$C$5:$AK$600,12),"")</f>
        <v>#REF!</v>
      </c>
      <c r="BD14" s="181" t="e">
        <f>IF(B14&lt;&gt;"",VLOOKUP(B14,'[9]IRR MES'!$C$5:$AK$600,14),"")</f>
        <v>#REF!</v>
      </c>
      <c r="BE14" s="247" t="e">
        <f>IF(B14&lt;&gt;"",VLOOKUP(B14,'[9]IRR MES'!$C$5:$AK$600,15),"")</f>
        <v>#REF!</v>
      </c>
      <c r="BF14" s="181" t="e">
        <f>IF(B14&lt;&gt;"",VLOOKUP(B14,'[9]IRR MES'!$C$5:$AK$600,17),"")</f>
        <v>#REF!</v>
      </c>
      <c r="BG14" s="247" t="e">
        <f>IF(B14&lt;&gt;"",VLOOKUP(B14,'[9]IRR MES'!$C$5:$AK$600,18),"")</f>
        <v>#REF!</v>
      </c>
      <c r="BH14" s="181" t="e">
        <f>IF(B14&lt;&gt;"",VLOOKUP(B14,'[9]IRR MES'!$C$5:$AK$600,20),"")</f>
        <v>#REF!</v>
      </c>
      <c r="BI14" s="247" t="e">
        <f>IF(B14&lt;&gt;"",VLOOKUP(B14,'[9]IRR MES'!$C$5:$AK$600,21),"")</f>
        <v>#REF!</v>
      </c>
      <c r="BJ14" s="181" t="e">
        <f>IF(B14&lt;&gt;"",VLOOKUP(B14,'[9]IRR MES'!$C$5:$AK$600,23),"")</f>
        <v>#REF!</v>
      </c>
      <c r="BK14" s="247" t="e">
        <f>IF(B14&lt;&gt;"",VLOOKUP(B14,'[9]IRR MES'!$C$5:$AK$600,24),"")</f>
        <v>#REF!</v>
      </c>
      <c r="BL14" s="181" t="e">
        <f>IF(B14&lt;&gt;"",VLOOKUP(B14,'[9]IRR MES'!$C$5:$AK$600,26),"")</f>
        <v>#REF!</v>
      </c>
      <c r="BM14" s="247" t="e">
        <f>IF(B14&lt;&gt;"",VLOOKUP(B14,'[9]IRR MES'!$C$5:$AK$600,27),"")</f>
        <v>#REF!</v>
      </c>
      <c r="BN14" s="181" t="e">
        <f>IF(B14&lt;&gt;"",VLOOKUP(B14,'[9]IRR MES'!$C$5:$AK$600,29),"")</f>
        <v>#REF!</v>
      </c>
      <c r="BO14" s="247" t="e">
        <f>IF(B14&lt;&gt;"",VLOOKUP(B14,'[9]IRR MES'!$C$5:$AK$600,30),"")</f>
        <v>#REF!</v>
      </c>
      <c r="BP14" s="181" t="e">
        <f>IF(B14&lt;&gt;"",VLOOKUP(B14,'[9]IRR MES'!$C$5:$AK$600,32),"")</f>
        <v>#REF!</v>
      </c>
      <c r="BQ14" s="181" t="e">
        <f>IF(B14&lt;&gt;"",VLOOKUP(B14,'[9]IRR MES'!$C$5:$AK$600,33),"")</f>
        <v>#REF!</v>
      </c>
      <c r="BR14" s="181" t="e">
        <f t="shared" si="27"/>
        <v>#REF!</v>
      </c>
      <c r="BS14" s="181" t="e">
        <f>IF(B14&lt;&gt;"",VLOOKUP(B14,'[9]IRR MES'!$C$5:$AK$600,34),"")</f>
        <v>#REF!</v>
      </c>
      <c r="BT14" s="248" t="e">
        <f>IF(B14&lt;&gt;"",VLOOKUP(B14,'[9]IRR MES'!$C$1:$AK$600,4),"")</f>
        <v>#REF!</v>
      </c>
      <c r="BU14" s="248" t="e">
        <f>IF(B14&lt;&gt;"",VLOOKUP(B14,'[9]IRR MES'!$C$1:$AK$600,7),"")</f>
        <v>#REF!</v>
      </c>
      <c r="BV14" s="248" t="e">
        <f>IF(B14&lt;&gt;"",VLOOKUP(B14,'[9]IRR MES'!$C$1:$AK$600,10),"")</f>
        <v>#REF!</v>
      </c>
      <c r="BW14" s="248" t="e">
        <f>IF(B14&lt;&gt;"",VLOOKUP(B14,'[9]IRR MES'!$C$1:$AK$600,13),"")</f>
        <v>#REF!</v>
      </c>
      <c r="BX14" s="248" t="e">
        <f>IF(B14&lt;&gt;"",VLOOKUP(B14,'[9]IRR MES'!$C$1:$AK$600,16),"")</f>
        <v>#REF!</v>
      </c>
      <c r="BY14" s="248" t="e">
        <f>IF(B14&lt;&gt;"",VLOOKUP(B14,'[9]IRR MES'!$C$1:$AK$600,19),"")</f>
        <v>#REF!</v>
      </c>
      <c r="BZ14" s="248" t="e">
        <f>IF(B14&lt;&gt;"",VLOOKUP(B14,'[9]IRR MES'!$C$1:$AK$600,22),"")</f>
        <v>#REF!</v>
      </c>
      <c r="CA14" s="248" t="e">
        <f>IF(B14&lt;&gt;"",VLOOKUP(B14,'[9]IRR MES'!$C$1:$AK$600,25),"")</f>
        <v>#REF!</v>
      </c>
      <c r="CB14" s="248" t="e">
        <f>IF(B14&lt;&gt;"",VLOOKUP(B14,'[9]IRR MES'!$C$1:$AK$600,28),"")</f>
        <v>#REF!</v>
      </c>
      <c r="CC14" s="248" t="e">
        <f>IF(B14&lt;&gt;"",VLOOKUP(B14,'[9]IRR MES'!$C$1:$AK$600,31),"")</f>
        <v>#REF!</v>
      </c>
      <c r="CD14" s="249" t="e">
        <f>#REF!</f>
        <v>#REF!</v>
      </c>
    </row>
    <row r="15" spans="1:95" x14ac:dyDescent="0.2">
      <c r="A15" s="10" t="e">
        <f t="shared" si="2"/>
        <v>#REF!</v>
      </c>
      <c r="B15" s="50" t="e">
        <f>#REF!</f>
        <v>#REF!</v>
      </c>
      <c r="C15" s="38">
        <f>'LEVANTAMENTO DADOS'!B12</f>
        <v>0</v>
      </c>
      <c r="D15" s="63" t="e">
        <f>'BASE DE CALCULO IR'!W15</f>
        <v>#REF!</v>
      </c>
      <c r="E15" s="63"/>
      <c r="F15" s="60"/>
      <c r="G15" s="63"/>
      <c r="H15" s="63"/>
      <c r="I15" s="63"/>
      <c r="J15" s="63"/>
      <c r="K15" s="61"/>
      <c r="L15" s="61"/>
      <c r="M15" s="61"/>
      <c r="N15" s="60"/>
      <c r="O15" s="60"/>
      <c r="P15" s="60"/>
      <c r="Q15" s="62"/>
      <c r="R15" s="62" t="e">
        <f t="shared" si="3"/>
        <v>#REF!</v>
      </c>
      <c r="S15" s="63" t="e">
        <f t="shared" si="4"/>
        <v>#REF!</v>
      </c>
      <c r="T15" s="250"/>
      <c r="U15" s="63" t="e">
        <f t="shared" si="5"/>
        <v>#REF!</v>
      </c>
      <c r="V15" s="63" t="e">
        <f>#REF!</f>
        <v>#REF!</v>
      </c>
      <c r="W15" s="63" t="e">
        <f t="shared" si="6"/>
        <v>#REF!</v>
      </c>
      <c r="X15" s="242" t="e">
        <f t="shared" si="7"/>
        <v>#REF!</v>
      </c>
      <c r="Y15" s="34" t="e">
        <f t="shared" si="28"/>
        <v>#REF!</v>
      </c>
      <c r="Z15" s="34" t="e">
        <f t="shared" si="8"/>
        <v>#REF!</v>
      </c>
      <c r="AA15" s="176" t="e">
        <f t="shared" si="9"/>
        <v>#REF!</v>
      </c>
      <c r="AB15" s="11" t="e">
        <f t="shared" si="10"/>
        <v>#REF!</v>
      </c>
      <c r="AC15" s="245" t="e">
        <f t="shared" si="11"/>
        <v>#REF!</v>
      </c>
      <c r="AD15" s="245" t="e">
        <f t="shared" si="12"/>
        <v>#REF!</v>
      </c>
      <c r="AE15" s="245"/>
      <c r="AF15" s="245" t="e">
        <f t="shared" si="13"/>
        <v>#REF!</v>
      </c>
      <c r="AG15" s="173" t="e">
        <f t="shared" si="14"/>
        <v>#REF!</v>
      </c>
      <c r="AH15" s="51" t="e">
        <f t="shared" si="15"/>
        <v>#REF!</v>
      </c>
      <c r="AI15" s="63" t="e">
        <f>IF(B15&lt;&gt;"",VLOOKUP(B15,'[9]IRR MES'!$C$15:$AK$600,32),"")</f>
        <v>#REF!</v>
      </c>
      <c r="AJ15" s="246" t="e">
        <f t="shared" si="16"/>
        <v>#REF!</v>
      </c>
      <c r="AK15" s="181" t="e">
        <f t="shared" si="17"/>
        <v>#REF!</v>
      </c>
      <c r="AL15" s="181" t="e">
        <f t="shared" si="18"/>
        <v>#REF!</v>
      </c>
      <c r="AM15" s="181" t="e">
        <f t="shared" si="19"/>
        <v>#REF!</v>
      </c>
      <c r="AN15" s="181" t="e">
        <f t="shared" si="20"/>
        <v>#REF!</v>
      </c>
      <c r="AO15" s="181" t="e">
        <f t="shared" si="21"/>
        <v>#REF!</v>
      </c>
      <c r="AP15" s="181" t="e">
        <f t="shared" si="22"/>
        <v>#REF!</v>
      </c>
      <c r="AQ15" s="181" t="e">
        <f t="shared" si="23"/>
        <v>#REF!</v>
      </c>
      <c r="AR15" s="181" t="e">
        <f t="shared" si="24"/>
        <v>#REF!</v>
      </c>
      <c r="AS15" s="181" t="e">
        <f t="shared" si="25"/>
        <v>#REF!</v>
      </c>
      <c r="AT15" s="181" t="e">
        <f t="shared" si="26"/>
        <v>#REF!</v>
      </c>
      <c r="AU15" s="181"/>
      <c r="AV15" s="63"/>
      <c r="AW15" s="181" t="e">
        <f>IF(B15&lt;&gt;"",VLOOKUP(B15,'[9]IRR MES'!$C$5:$AK$600,2),"")</f>
        <v>#REF!</v>
      </c>
      <c r="AX15" s="247" t="e">
        <f>IF(B15&lt;&gt;"",VLOOKUP(B15,'[9]IRR MES'!$C$5:$AK$600,3),"")</f>
        <v>#REF!</v>
      </c>
      <c r="AY15" s="181" t="e">
        <f>IF(B15&lt;&gt;"",VLOOKUP(B15,'[9]IRR MES'!$C$5:$AK$600,5),"")</f>
        <v>#REF!</v>
      </c>
      <c r="AZ15" s="247" t="e">
        <f>IF(B15&lt;&gt;"",VLOOKUP(B15,'[9]IRR MES'!$C$5:$AK$600,6),"")</f>
        <v>#REF!</v>
      </c>
      <c r="BA15" s="181" t="e">
        <f>IF(B15&lt;&gt;"",VLOOKUP(B15,'[9]IRR MES'!$C$5:$AK$600,8),"")</f>
        <v>#REF!</v>
      </c>
      <c r="BB15" s="247" t="e">
        <f>IF(B15&lt;&gt;"",VLOOKUP(B15,'[9]IRR MES'!$C$5:$AK$600,9),"")</f>
        <v>#REF!</v>
      </c>
      <c r="BC15" s="247" t="e">
        <f>IF(B15&lt;&gt;"",VLOOKUP(B15,'[9]IRR MES'!$C$5:$AK$600,12),"")</f>
        <v>#REF!</v>
      </c>
      <c r="BD15" s="181" t="e">
        <f>IF(B15&lt;&gt;"",VLOOKUP(B15,'[9]IRR MES'!$C$5:$AK$600,14),"")</f>
        <v>#REF!</v>
      </c>
      <c r="BE15" s="247" t="e">
        <f>IF(B15&lt;&gt;"",VLOOKUP(B15,'[9]IRR MES'!$C$5:$AK$600,15),"")</f>
        <v>#REF!</v>
      </c>
      <c r="BF15" s="181" t="e">
        <f>IF(B15&lt;&gt;"",VLOOKUP(B15,'[9]IRR MES'!$C$5:$AK$600,17),"")</f>
        <v>#REF!</v>
      </c>
      <c r="BG15" s="247" t="e">
        <f>IF(B15&lt;&gt;"",VLOOKUP(B15,'[9]IRR MES'!$C$5:$AK$600,18),"")</f>
        <v>#REF!</v>
      </c>
      <c r="BH15" s="181" t="e">
        <f>IF(B15&lt;&gt;"",VLOOKUP(B15,'[9]IRR MES'!$C$5:$AK$600,20),"")</f>
        <v>#REF!</v>
      </c>
      <c r="BI15" s="247" t="e">
        <f>IF(B15&lt;&gt;"",VLOOKUP(B15,'[9]IRR MES'!$C$5:$AK$600,21),"")</f>
        <v>#REF!</v>
      </c>
      <c r="BJ15" s="181" t="e">
        <f>IF(B15&lt;&gt;"",VLOOKUP(B15,'[9]IRR MES'!$C$5:$AK$600,23),"")</f>
        <v>#REF!</v>
      </c>
      <c r="BK15" s="247" t="e">
        <f>IF(B15&lt;&gt;"",VLOOKUP(B15,'[9]IRR MES'!$C$5:$AK$600,24),"")</f>
        <v>#REF!</v>
      </c>
      <c r="BL15" s="181" t="e">
        <f>IF(B15&lt;&gt;"",VLOOKUP(B15,'[9]IRR MES'!$C$5:$AK$600,26),"")</f>
        <v>#REF!</v>
      </c>
      <c r="BM15" s="247" t="e">
        <f>IF(B15&lt;&gt;"",VLOOKUP(B15,'[9]IRR MES'!$C$5:$AK$600,27),"")</f>
        <v>#REF!</v>
      </c>
      <c r="BN15" s="181" t="e">
        <f>IF(B15&lt;&gt;"",VLOOKUP(B15,'[9]IRR MES'!$C$5:$AK$600,29),"")</f>
        <v>#REF!</v>
      </c>
      <c r="BO15" s="247" t="e">
        <f>IF(B15&lt;&gt;"",VLOOKUP(B15,'[9]IRR MES'!$C$5:$AK$600,30),"")</f>
        <v>#REF!</v>
      </c>
      <c r="BP15" s="181" t="e">
        <f>IF(B15&lt;&gt;"",VLOOKUP(B15,'[9]IRR MES'!$C$5:$AK$600,32),"")</f>
        <v>#REF!</v>
      </c>
      <c r="BQ15" s="181" t="e">
        <f>IF(B15&lt;&gt;"",VLOOKUP(B15,'[9]IRR MES'!$C$5:$AK$600,33),"")</f>
        <v>#REF!</v>
      </c>
      <c r="BR15" s="181" t="e">
        <f t="shared" si="27"/>
        <v>#REF!</v>
      </c>
      <c r="BS15" s="181" t="e">
        <f>IF(B15&lt;&gt;"",VLOOKUP(B15,'[9]IRR MES'!$C$5:$AK$600,34),"")</f>
        <v>#REF!</v>
      </c>
      <c r="BT15" s="248" t="e">
        <f>IF(B15&lt;&gt;"",VLOOKUP(B15,'[9]IRR MES'!$C$1:$AK$600,4),"")</f>
        <v>#REF!</v>
      </c>
      <c r="BU15" s="248" t="e">
        <f>IF(B15&lt;&gt;"",VLOOKUP(B15,'[9]IRR MES'!$C$1:$AK$600,7),"")</f>
        <v>#REF!</v>
      </c>
      <c r="BV15" s="248" t="e">
        <f>IF(B15&lt;&gt;"",VLOOKUP(B15,'[9]IRR MES'!$C$1:$AK$600,10),"")</f>
        <v>#REF!</v>
      </c>
      <c r="BW15" s="248" t="e">
        <f>IF(B15&lt;&gt;"",VLOOKUP(B15,'[9]IRR MES'!$C$1:$AK$600,13),"")</f>
        <v>#REF!</v>
      </c>
      <c r="BX15" s="248" t="e">
        <f>IF(B15&lt;&gt;"",VLOOKUP(B15,'[9]IRR MES'!$C$1:$AK$600,16),"")</f>
        <v>#REF!</v>
      </c>
      <c r="BY15" s="248" t="e">
        <f>IF(B15&lt;&gt;"",VLOOKUP(B15,'[9]IRR MES'!$C$1:$AK$600,19),"")</f>
        <v>#REF!</v>
      </c>
      <c r="BZ15" s="248" t="e">
        <f>IF(B15&lt;&gt;"",VLOOKUP(B15,'[9]IRR MES'!$C$1:$AK$600,22),"")</f>
        <v>#REF!</v>
      </c>
      <c r="CA15" s="248" t="e">
        <f>IF(B15&lt;&gt;"",VLOOKUP(B15,'[9]IRR MES'!$C$1:$AK$600,25),"")</f>
        <v>#REF!</v>
      </c>
      <c r="CB15" s="248" t="e">
        <f>IF(B15&lt;&gt;"",VLOOKUP(B15,'[9]IRR MES'!$C$1:$AK$600,28),"")</f>
        <v>#REF!</v>
      </c>
      <c r="CC15" s="248" t="e">
        <f>IF(B15&lt;&gt;"",VLOOKUP(B15,'[9]IRR MES'!$C$1:$AK$600,31),"")</f>
        <v>#REF!</v>
      </c>
      <c r="CD15" s="249" t="e">
        <f>#REF!</f>
        <v>#REF!</v>
      </c>
    </row>
    <row r="16" spans="1:95" x14ac:dyDescent="0.2">
      <c r="A16" s="10" t="e">
        <f t="shared" si="2"/>
        <v>#REF!</v>
      </c>
      <c r="B16" s="50" t="e">
        <f>#REF!</f>
        <v>#REF!</v>
      </c>
      <c r="C16" s="38">
        <f>'LEVANTAMENTO DADOS'!B13</f>
        <v>0</v>
      </c>
      <c r="D16" s="63" t="e">
        <f>'BASE DE CALCULO IR'!W16</f>
        <v>#REF!</v>
      </c>
      <c r="E16" s="63"/>
      <c r="F16" s="60"/>
      <c r="G16" s="63"/>
      <c r="H16" s="63"/>
      <c r="I16" s="63"/>
      <c r="J16" s="63"/>
      <c r="K16" s="61"/>
      <c r="L16" s="61"/>
      <c r="M16" s="61"/>
      <c r="N16" s="60"/>
      <c r="O16" s="60"/>
      <c r="P16" s="60"/>
      <c r="Q16" s="62"/>
      <c r="R16" s="62" t="e">
        <f t="shared" si="3"/>
        <v>#REF!</v>
      </c>
      <c r="S16" s="63" t="e">
        <f t="shared" si="4"/>
        <v>#REF!</v>
      </c>
      <c r="T16" s="250"/>
      <c r="U16" s="63" t="e">
        <f t="shared" si="5"/>
        <v>#REF!</v>
      </c>
      <c r="V16" s="63" t="e">
        <f>#REF!</f>
        <v>#REF!</v>
      </c>
      <c r="W16" s="63" t="e">
        <f t="shared" si="6"/>
        <v>#REF!</v>
      </c>
      <c r="X16" s="242" t="e">
        <f t="shared" si="7"/>
        <v>#REF!</v>
      </c>
      <c r="Y16" s="34" t="e">
        <f t="shared" si="28"/>
        <v>#REF!</v>
      </c>
      <c r="Z16" s="34" t="e">
        <f t="shared" si="8"/>
        <v>#REF!</v>
      </c>
      <c r="AA16" s="176" t="e">
        <f t="shared" si="9"/>
        <v>#REF!</v>
      </c>
      <c r="AB16" s="11" t="e">
        <f t="shared" si="10"/>
        <v>#REF!</v>
      </c>
      <c r="AC16" s="245" t="e">
        <f t="shared" si="11"/>
        <v>#REF!</v>
      </c>
      <c r="AD16" s="245" t="e">
        <f t="shared" si="12"/>
        <v>#REF!</v>
      </c>
      <c r="AE16" s="245"/>
      <c r="AF16" s="245" t="e">
        <f t="shared" si="13"/>
        <v>#REF!</v>
      </c>
      <c r="AG16" s="173" t="e">
        <f t="shared" si="14"/>
        <v>#REF!</v>
      </c>
      <c r="AH16" s="51" t="e">
        <f t="shared" si="15"/>
        <v>#REF!</v>
      </c>
      <c r="AI16" s="63" t="e">
        <f>IF(B16&lt;&gt;"",VLOOKUP(B16,'[9]IRR MES'!$C$15:$AK$600,32),"")</f>
        <v>#REF!</v>
      </c>
      <c r="AJ16" s="246" t="e">
        <f t="shared" si="16"/>
        <v>#REF!</v>
      </c>
      <c r="AK16" s="181" t="e">
        <f t="shared" si="17"/>
        <v>#REF!</v>
      </c>
      <c r="AL16" s="181" t="e">
        <f t="shared" si="18"/>
        <v>#REF!</v>
      </c>
      <c r="AM16" s="181" t="e">
        <f t="shared" si="19"/>
        <v>#REF!</v>
      </c>
      <c r="AN16" s="181" t="e">
        <f t="shared" si="20"/>
        <v>#REF!</v>
      </c>
      <c r="AO16" s="181" t="e">
        <f t="shared" si="21"/>
        <v>#REF!</v>
      </c>
      <c r="AP16" s="181" t="e">
        <f t="shared" si="22"/>
        <v>#REF!</v>
      </c>
      <c r="AQ16" s="181" t="e">
        <f t="shared" si="23"/>
        <v>#REF!</v>
      </c>
      <c r="AR16" s="181" t="e">
        <f t="shared" si="24"/>
        <v>#REF!</v>
      </c>
      <c r="AS16" s="181" t="e">
        <f t="shared" si="25"/>
        <v>#REF!</v>
      </c>
      <c r="AT16" s="181" t="e">
        <f t="shared" si="26"/>
        <v>#REF!</v>
      </c>
      <c r="AU16" s="181"/>
      <c r="AV16" s="63"/>
      <c r="AW16" s="181" t="e">
        <f>IF(B16&lt;&gt;"",VLOOKUP(B16,'[9]IRR MES'!$C$5:$AK$600,2),"")</f>
        <v>#REF!</v>
      </c>
      <c r="AX16" s="247" t="e">
        <f>IF(B16&lt;&gt;"",VLOOKUP(B16,'[9]IRR MES'!$C$5:$AK$600,3),"")</f>
        <v>#REF!</v>
      </c>
      <c r="AY16" s="181" t="e">
        <f>IF(B16&lt;&gt;"",VLOOKUP(B16,'[9]IRR MES'!$C$5:$AK$600,5),"")</f>
        <v>#REF!</v>
      </c>
      <c r="AZ16" s="247" t="e">
        <f>IF(B16&lt;&gt;"",VLOOKUP(B16,'[9]IRR MES'!$C$5:$AK$600,6),"")</f>
        <v>#REF!</v>
      </c>
      <c r="BA16" s="181" t="e">
        <f>IF(B16&lt;&gt;"",VLOOKUP(B16,'[9]IRR MES'!$C$5:$AK$600,8),"")</f>
        <v>#REF!</v>
      </c>
      <c r="BB16" s="247" t="e">
        <f>IF(B16&lt;&gt;"",VLOOKUP(B16,'[9]IRR MES'!$C$5:$AK$600,9),"")</f>
        <v>#REF!</v>
      </c>
      <c r="BC16" s="247" t="e">
        <f>IF(B16&lt;&gt;"",VLOOKUP(B16,'[9]IRR MES'!$C$5:$AK$600,12),"")</f>
        <v>#REF!</v>
      </c>
      <c r="BD16" s="181" t="e">
        <f>IF(B16&lt;&gt;"",VLOOKUP(B16,'[9]IRR MES'!$C$5:$AK$600,14),"")</f>
        <v>#REF!</v>
      </c>
      <c r="BE16" s="247" t="e">
        <f>IF(B16&lt;&gt;"",VLOOKUP(B16,'[9]IRR MES'!$C$5:$AK$600,15),"")</f>
        <v>#REF!</v>
      </c>
      <c r="BF16" s="181" t="e">
        <f>IF(B16&lt;&gt;"",VLOOKUP(B16,'[9]IRR MES'!$C$5:$AK$600,17),"")</f>
        <v>#REF!</v>
      </c>
      <c r="BG16" s="247" t="e">
        <f>IF(B16&lt;&gt;"",VLOOKUP(B16,'[9]IRR MES'!$C$5:$AK$600,18),"")</f>
        <v>#REF!</v>
      </c>
      <c r="BH16" s="181" t="e">
        <f>IF(B16&lt;&gt;"",VLOOKUP(B16,'[9]IRR MES'!$C$5:$AK$600,20),"")</f>
        <v>#REF!</v>
      </c>
      <c r="BI16" s="247" t="e">
        <f>IF(B16&lt;&gt;"",VLOOKUP(B16,'[9]IRR MES'!$C$5:$AK$600,21),"")</f>
        <v>#REF!</v>
      </c>
      <c r="BJ16" s="181" t="e">
        <f>IF(B16&lt;&gt;"",VLOOKUP(B16,'[9]IRR MES'!$C$5:$AK$600,23),"")</f>
        <v>#REF!</v>
      </c>
      <c r="BK16" s="247" t="e">
        <f>IF(B16&lt;&gt;"",VLOOKUP(B16,'[9]IRR MES'!$C$5:$AK$600,24),"")</f>
        <v>#REF!</v>
      </c>
      <c r="BL16" s="181" t="e">
        <f>IF(B16&lt;&gt;"",VLOOKUP(B16,'[9]IRR MES'!$C$5:$AK$600,26),"")</f>
        <v>#REF!</v>
      </c>
      <c r="BM16" s="247" t="e">
        <f>IF(B16&lt;&gt;"",VLOOKUP(B16,'[9]IRR MES'!$C$5:$AK$600,27),"")</f>
        <v>#REF!</v>
      </c>
      <c r="BN16" s="181" t="e">
        <f>IF(B16&lt;&gt;"",VLOOKUP(B16,'[9]IRR MES'!$C$5:$AK$600,29),"")</f>
        <v>#REF!</v>
      </c>
      <c r="BO16" s="247" t="e">
        <f>IF(B16&lt;&gt;"",VLOOKUP(B16,'[9]IRR MES'!$C$5:$AK$600,30),"")</f>
        <v>#REF!</v>
      </c>
      <c r="BP16" s="181" t="e">
        <f>IF(B16&lt;&gt;"",VLOOKUP(B16,'[9]IRR MES'!$C$5:$AK$600,32),"")</f>
        <v>#REF!</v>
      </c>
      <c r="BQ16" s="181" t="e">
        <f>IF(B16&lt;&gt;"",VLOOKUP(B16,'[9]IRR MES'!$C$5:$AK$600,33),"")</f>
        <v>#REF!</v>
      </c>
      <c r="BR16" s="181" t="e">
        <f t="shared" si="27"/>
        <v>#REF!</v>
      </c>
      <c r="BS16" s="181" t="e">
        <f>IF(B16&lt;&gt;"",VLOOKUP(B16,'[9]IRR MES'!$C$5:$AK$600,34),"")</f>
        <v>#REF!</v>
      </c>
      <c r="BT16" s="248" t="e">
        <f>IF(B16&lt;&gt;"",VLOOKUP(B16,'[9]IRR MES'!$C$1:$AK$600,4),"")</f>
        <v>#REF!</v>
      </c>
      <c r="BU16" s="248" t="e">
        <f>IF(B16&lt;&gt;"",VLOOKUP(B16,'[9]IRR MES'!$C$1:$AK$600,7),"")</f>
        <v>#REF!</v>
      </c>
      <c r="BV16" s="248" t="e">
        <f>IF(B16&lt;&gt;"",VLOOKUP(B16,'[9]IRR MES'!$C$1:$AK$600,10),"")</f>
        <v>#REF!</v>
      </c>
      <c r="BW16" s="248" t="e">
        <f>IF(B16&lt;&gt;"",VLOOKUP(B16,'[9]IRR MES'!$C$1:$AK$600,13),"")</f>
        <v>#REF!</v>
      </c>
      <c r="BX16" s="248" t="e">
        <f>IF(B16&lt;&gt;"",VLOOKUP(B16,'[9]IRR MES'!$C$1:$AK$600,16),"")</f>
        <v>#REF!</v>
      </c>
      <c r="BY16" s="248" t="e">
        <f>IF(B16&lt;&gt;"",VLOOKUP(B16,'[9]IRR MES'!$C$1:$AK$600,19),"")</f>
        <v>#REF!</v>
      </c>
      <c r="BZ16" s="248" t="e">
        <f>IF(B16&lt;&gt;"",VLOOKUP(B16,'[9]IRR MES'!$C$1:$AK$600,22),"")</f>
        <v>#REF!</v>
      </c>
      <c r="CA16" s="248" t="e">
        <f>IF(B16&lt;&gt;"",VLOOKUP(B16,'[9]IRR MES'!$C$1:$AK$600,25),"")</f>
        <v>#REF!</v>
      </c>
      <c r="CB16" s="248" t="e">
        <f>IF(B16&lt;&gt;"",VLOOKUP(B16,'[9]IRR MES'!$C$1:$AK$600,28),"")</f>
        <v>#REF!</v>
      </c>
      <c r="CC16" s="248" t="e">
        <f>IF(B16&lt;&gt;"",VLOOKUP(B16,'[9]IRR MES'!$C$1:$AK$600,31),"")</f>
        <v>#REF!</v>
      </c>
      <c r="CD16" s="249" t="e">
        <f>#REF!</f>
        <v>#REF!</v>
      </c>
    </row>
    <row r="17" spans="1:82" x14ac:dyDescent="0.2">
      <c r="A17" s="10" t="e">
        <f t="shared" si="2"/>
        <v>#REF!</v>
      </c>
      <c r="B17" s="50" t="e">
        <f>#REF!</f>
        <v>#REF!</v>
      </c>
      <c r="C17" s="38">
        <f>'LEVANTAMENTO DADOS'!B14</f>
        <v>0</v>
      </c>
      <c r="D17" s="63" t="e">
        <f>'BASE DE CALCULO IR'!W17</f>
        <v>#REF!</v>
      </c>
      <c r="E17" s="63"/>
      <c r="F17" s="60"/>
      <c r="G17" s="63"/>
      <c r="H17" s="63"/>
      <c r="I17" s="63"/>
      <c r="J17" s="63"/>
      <c r="K17" s="61"/>
      <c r="L17" s="61"/>
      <c r="M17" s="61"/>
      <c r="N17" s="60"/>
      <c r="O17" s="60"/>
      <c r="P17" s="60"/>
      <c r="Q17" s="62"/>
      <c r="R17" s="62" t="e">
        <f t="shared" si="3"/>
        <v>#REF!</v>
      </c>
      <c r="S17" s="63" t="e">
        <f t="shared" si="4"/>
        <v>#REF!</v>
      </c>
      <c r="T17" s="250"/>
      <c r="U17" s="63" t="e">
        <f t="shared" si="5"/>
        <v>#REF!</v>
      </c>
      <c r="V17" s="63" t="e">
        <f>#REF!</f>
        <v>#REF!</v>
      </c>
      <c r="W17" s="63" t="e">
        <f t="shared" si="6"/>
        <v>#REF!</v>
      </c>
      <c r="X17" s="242" t="e">
        <f t="shared" si="7"/>
        <v>#REF!</v>
      </c>
      <c r="Y17" s="34" t="e">
        <f t="shared" si="28"/>
        <v>#REF!</v>
      </c>
      <c r="Z17" s="34" t="e">
        <f t="shared" si="8"/>
        <v>#REF!</v>
      </c>
      <c r="AA17" s="176" t="e">
        <f t="shared" si="9"/>
        <v>#REF!</v>
      </c>
      <c r="AB17" s="11" t="e">
        <f t="shared" si="10"/>
        <v>#REF!</v>
      </c>
      <c r="AC17" s="245" t="e">
        <f t="shared" si="11"/>
        <v>#REF!</v>
      </c>
      <c r="AD17" s="245" t="e">
        <f t="shared" si="12"/>
        <v>#REF!</v>
      </c>
      <c r="AE17" s="245"/>
      <c r="AF17" s="245" t="e">
        <f t="shared" si="13"/>
        <v>#REF!</v>
      </c>
      <c r="AG17" s="173" t="e">
        <f t="shared" si="14"/>
        <v>#REF!</v>
      </c>
      <c r="AH17" s="51" t="e">
        <f t="shared" si="15"/>
        <v>#REF!</v>
      </c>
      <c r="AI17" s="63" t="e">
        <f>IF(B17&lt;&gt;"",VLOOKUP(B17,'[9]IRR MES'!$C$15:$AK$600,32),"")</f>
        <v>#REF!</v>
      </c>
      <c r="AJ17" s="246" t="e">
        <f t="shared" si="16"/>
        <v>#REF!</v>
      </c>
      <c r="AK17" s="181" t="e">
        <f t="shared" si="17"/>
        <v>#REF!</v>
      </c>
      <c r="AL17" s="181" t="e">
        <f t="shared" si="18"/>
        <v>#REF!</v>
      </c>
      <c r="AM17" s="181" t="e">
        <f t="shared" si="19"/>
        <v>#REF!</v>
      </c>
      <c r="AN17" s="181" t="e">
        <f t="shared" si="20"/>
        <v>#REF!</v>
      </c>
      <c r="AO17" s="181" t="e">
        <f t="shared" si="21"/>
        <v>#REF!</v>
      </c>
      <c r="AP17" s="181" t="e">
        <f t="shared" si="22"/>
        <v>#REF!</v>
      </c>
      <c r="AQ17" s="181" t="e">
        <f t="shared" si="23"/>
        <v>#REF!</v>
      </c>
      <c r="AR17" s="181" t="e">
        <f t="shared" si="24"/>
        <v>#REF!</v>
      </c>
      <c r="AS17" s="181" t="e">
        <f t="shared" si="25"/>
        <v>#REF!</v>
      </c>
      <c r="AT17" s="181" t="e">
        <f t="shared" si="26"/>
        <v>#REF!</v>
      </c>
      <c r="AU17" s="181"/>
      <c r="AV17" s="63"/>
      <c r="AW17" s="181" t="e">
        <f>IF(B17&lt;&gt;"",VLOOKUP(B17,'[9]IRR MES'!$C$5:$AK$600,2),"")</f>
        <v>#REF!</v>
      </c>
      <c r="AX17" s="247" t="e">
        <f>IF(B17&lt;&gt;"",VLOOKUP(B17,'[9]IRR MES'!$C$5:$AK$600,3),"")</f>
        <v>#REF!</v>
      </c>
      <c r="AY17" s="181" t="e">
        <f>IF(B17&lt;&gt;"",VLOOKUP(B17,'[9]IRR MES'!$C$5:$AK$600,5),"")</f>
        <v>#REF!</v>
      </c>
      <c r="AZ17" s="247" t="e">
        <f>IF(B17&lt;&gt;"",VLOOKUP(B17,'[9]IRR MES'!$C$5:$AK$600,6),"")</f>
        <v>#REF!</v>
      </c>
      <c r="BA17" s="181" t="e">
        <f>IF(B17&lt;&gt;"",VLOOKUP(B17,'[9]IRR MES'!$C$5:$AK$600,8),"")</f>
        <v>#REF!</v>
      </c>
      <c r="BB17" s="247" t="e">
        <f>IF(B17&lt;&gt;"",VLOOKUP(B17,'[9]IRR MES'!$C$5:$AK$600,9),"")</f>
        <v>#REF!</v>
      </c>
      <c r="BC17" s="247" t="e">
        <f>IF(B17&lt;&gt;"",VLOOKUP(B17,'[9]IRR MES'!$C$5:$AK$600,12),"")</f>
        <v>#REF!</v>
      </c>
      <c r="BD17" s="181" t="e">
        <f>IF(B17&lt;&gt;"",VLOOKUP(B17,'[9]IRR MES'!$C$5:$AK$600,14),"")</f>
        <v>#REF!</v>
      </c>
      <c r="BE17" s="247" t="e">
        <f>IF(B17&lt;&gt;"",VLOOKUP(B17,'[9]IRR MES'!$C$5:$AK$600,15),"")</f>
        <v>#REF!</v>
      </c>
      <c r="BF17" s="181" t="e">
        <f>IF(B17&lt;&gt;"",VLOOKUP(B17,'[9]IRR MES'!$C$5:$AK$600,17),"")</f>
        <v>#REF!</v>
      </c>
      <c r="BG17" s="247" t="e">
        <f>IF(B17&lt;&gt;"",VLOOKUP(B17,'[9]IRR MES'!$C$5:$AK$600,18),"")</f>
        <v>#REF!</v>
      </c>
      <c r="BH17" s="181" t="e">
        <f>IF(B17&lt;&gt;"",VLOOKUP(B17,'[9]IRR MES'!$C$5:$AK$600,20),"")</f>
        <v>#REF!</v>
      </c>
      <c r="BI17" s="247" t="e">
        <f>IF(B17&lt;&gt;"",VLOOKUP(B17,'[9]IRR MES'!$C$5:$AK$600,21),"")</f>
        <v>#REF!</v>
      </c>
      <c r="BJ17" s="181" t="e">
        <f>IF(B17&lt;&gt;"",VLOOKUP(B17,'[9]IRR MES'!$C$5:$AK$600,23),"")</f>
        <v>#REF!</v>
      </c>
      <c r="BK17" s="247" t="e">
        <f>IF(B17&lt;&gt;"",VLOOKUP(B17,'[9]IRR MES'!$C$5:$AK$600,24),"")</f>
        <v>#REF!</v>
      </c>
      <c r="BL17" s="181" t="e">
        <f>IF(B17&lt;&gt;"",VLOOKUP(B17,'[9]IRR MES'!$C$5:$AK$600,26),"")</f>
        <v>#REF!</v>
      </c>
      <c r="BM17" s="247" t="e">
        <f>IF(B17&lt;&gt;"",VLOOKUP(B17,'[9]IRR MES'!$C$5:$AK$600,27),"")</f>
        <v>#REF!</v>
      </c>
      <c r="BN17" s="181" t="e">
        <f>IF(B17&lt;&gt;"",VLOOKUP(B17,'[9]IRR MES'!$C$5:$AK$600,29),"")</f>
        <v>#REF!</v>
      </c>
      <c r="BO17" s="247" t="e">
        <f>IF(B17&lt;&gt;"",VLOOKUP(B17,'[9]IRR MES'!$C$5:$AK$600,30),"")</f>
        <v>#REF!</v>
      </c>
      <c r="BP17" s="181" t="e">
        <f>IF(B17&lt;&gt;"",VLOOKUP(B17,'[9]IRR MES'!$C$5:$AK$600,32),"")</f>
        <v>#REF!</v>
      </c>
      <c r="BQ17" s="181" t="e">
        <f>IF(B17&lt;&gt;"",VLOOKUP(B17,'[9]IRR MES'!$C$5:$AK$600,33),"")</f>
        <v>#REF!</v>
      </c>
      <c r="BR17" s="181" t="e">
        <f t="shared" si="27"/>
        <v>#REF!</v>
      </c>
      <c r="BS17" s="181" t="e">
        <f>IF(B17&lt;&gt;"",VLOOKUP(B17,'[9]IRR MES'!$C$5:$AK$600,34),"")</f>
        <v>#REF!</v>
      </c>
      <c r="BT17" s="248" t="e">
        <f>IF(B17&lt;&gt;"",VLOOKUP(B17,'[9]IRR MES'!$C$1:$AK$600,4),"")</f>
        <v>#REF!</v>
      </c>
      <c r="BU17" s="248" t="e">
        <f>IF(B17&lt;&gt;"",VLOOKUP(B17,'[9]IRR MES'!$C$1:$AK$600,7),"")</f>
        <v>#REF!</v>
      </c>
      <c r="BV17" s="248" t="e">
        <f>IF(B17&lt;&gt;"",VLOOKUP(B17,'[9]IRR MES'!$C$1:$AK$600,10),"")</f>
        <v>#REF!</v>
      </c>
      <c r="BW17" s="248" t="e">
        <f>IF(B17&lt;&gt;"",VLOOKUP(B17,'[9]IRR MES'!$C$1:$AK$600,13),"")</f>
        <v>#REF!</v>
      </c>
      <c r="BX17" s="248" t="e">
        <f>IF(B17&lt;&gt;"",VLOOKUP(B17,'[9]IRR MES'!$C$1:$AK$600,16),"")</f>
        <v>#REF!</v>
      </c>
      <c r="BY17" s="248" t="e">
        <f>IF(B17&lt;&gt;"",VLOOKUP(B17,'[9]IRR MES'!$C$1:$AK$600,19),"")</f>
        <v>#REF!</v>
      </c>
      <c r="BZ17" s="248" t="e">
        <f>IF(B17&lt;&gt;"",VLOOKUP(B17,'[9]IRR MES'!$C$1:$AK$600,22),"")</f>
        <v>#REF!</v>
      </c>
      <c r="CA17" s="248" t="e">
        <f>IF(B17&lt;&gt;"",VLOOKUP(B17,'[9]IRR MES'!$C$1:$AK$600,25),"")</f>
        <v>#REF!</v>
      </c>
      <c r="CB17" s="248" t="e">
        <f>IF(B17&lt;&gt;"",VLOOKUP(B17,'[9]IRR MES'!$C$1:$AK$600,28),"")</f>
        <v>#REF!</v>
      </c>
      <c r="CC17" s="248" t="e">
        <f>IF(B17&lt;&gt;"",VLOOKUP(B17,'[9]IRR MES'!$C$1:$AK$600,31),"")</f>
        <v>#REF!</v>
      </c>
      <c r="CD17" s="249" t="e">
        <f>#REF!</f>
        <v>#REF!</v>
      </c>
    </row>
    <row r="18" spans="1:82" x14ac:dyDescent="0.2">
      <c r="A18" s="10" t="e">
        <f t="shared" si="2"/>
        <v>#REF!</v>
      </c>
      <c r="B18" s="50" t="e">
        <f>#REF!</f>
        <v>#REF!</v>
      </c>
      <c r="C18" s="38">
        <f>'LEVANTAMENTO DADOS'!B15</f>
        <v>1646.14</v>
      </c>
      <c r="D18" s="63" t="e">
        <f>'BASE DE CALCULO IR'!W18</f>
        <v>#REF!</v>
      </c>
      <c r="E18" s="63"/>
      <c r="F18" s="60"/>
      <c r="G18" s="63"/>
      <c r="H18" s="63"/>
      <c r="I18" s="63"/>
      <c r="J18" s="63"/>
      <c r="K18" s="61"/>
      <c r="L18" s="61"/>
      <c r="M18" s="61"/>
      <c r="N18" s="60"/>
      <c r="O18" s="60"/>
      <c r="P18" s="60"/>
      <c r="Q18" s="62"/>
      <c r="R18" s="62" t="e">
        <f t="shared" si="3"/>
        <v>#REF!</v>
      </c>
      <c r="S18" s="63" t="e">
        <f t="shared" si="4"/>
        <v>#REF!</v>
      </c>
      <c r="T18" s="250"/>
      <c r="U18" s="63" t="e">
        <f t="shared" si="5"/>
        <v>#REF!</v>
      </c>
      <c r="V18" s="63" t="e">
        <f>#REF!</f>
        <v>#REF!</v>
      </c>
      <c r="W18" s="63" t="e">
        <f t="shared" si="6"/>
        <v>#REF!</v>
      </c>
      <c r="X18" s="242" t="e">
        <f t="shared" si="7"/>
        <v>#REF!</v>
      </c>
      <c r="Y18" s="34" t="e">
        <f t="shared" si="28"/>
        <v>#REF!</v>
      </c>
      <c r="Z18" s="34" t="e">
        <f t="shared" si="8"/>
        <v>#REF!</v>
      </c>
      <c r="AA18" s="176" t="e">
        <f t="shared" si="9"/>
        <v>#REF!</v>
      </c>
      <c r="AB18" s="11" t="e">
        <f t="shared" si="10"/>
        <v>#REF!</v>
      </c>
      <c r="AC18" s="245" t="e">
        <f t="shared" si="11"/>
        <v>#REF!</v>
      </c>
      <c r="AD18" s="245" t="e">
        <f t="shared" si="12"/>
        <v>#REF!</v>
      </c>
      <c r="AE18" s="245"/>
      <c r="AF18" s="245" t="e">
        <f t="shared" si="13"/>
        <v>#REF!</v>
      </c>
      <c r="AG18" s="173" t="e">
        <f t="shared" si="14"/>
        <v>#REF!</v>
      </c>
      <c r="AH18" s="51" t="e">
        <f t="shared" si="15"/>
        <v>#REF!</v>
      </c>
      <c r="AI18" s="63" t="e">
        <f>IF(B18&lt;&gt;"",VLOOKUP(B18,'[9]IRR MES'!$C$15:$AK$600,32),"")</f>
        <v>#REF!</v>
      </c>
      <c r="AJ18" s="246" t="e">
        <f t="shared" si="16"/>
        <v>#REF!</v>
      </c>
      <c r="AK18" s="181" t="e">
        <f t="shared" si="17"/>
        <v>#REF!</v>
      </c>
      <c r="AL18" s="181" t="e">
        <f t="shared" si="18"/>
        <v>#REF!</v>
      </c>
      <c r="AM18" s="181" t="e">
        <f t="shared" si="19"/>
        <v>#REF!</v>
      </c>
      <c r="AN18" s="181" t="e">
        <f t="shared" si="20"/>
        <v>#REF!</v>
      </c>
      <c r="AO18" s="181" t="e">
        <f t="shared" si="21"/>
        <v>#REF!</v>
      </c>
      <c r="AP18" s="181" t="e">
        <f t="shared" si="22"/>
        <v>#REF!</v>
      </c>
      <c r="AQ18" s="181" t="e">
        <f t="shared" si="23"/>
        <v>#REF!</v>
      </c>
      <c r="AR18" s="181" t="e">
        <f t="shared" si="24"/>
        <v>#REF!</v>
      </c>
      <c r="AS18" s="181" t="e">
        <f t="shared" si="25"/>
        <v>#REF!</v>
      </c>
      <c r="AT18" s="181" t="e">
        <f t="shared" si="26"/>
        <v>#REF!</v>
      </c>
      <c r="AU18" s="181"/>
      <c r="AV18" s="63"/>
      <c r="AW18" s="181" t="e">
        <f>IF(B18&lt;&gt;"",VLOOKUP(B18,'[9]IRR MES'!$C$5:$AK$600,2),"")</f>
        <v>#REF!</v>
      </c>
      <c r="AX18" s="247" t="e">
        <f>IF(B18&lt;&gt;"",VLOOKUP(B18,'[9]IRR MES'!$C$5:$AK$600,3),"")</f>
        <v>#REF!</v>
      </c>
      <c r="AY18" s="181" t="e">
        <f>IF(B18&lt;&gt;"",VLOOKUP(B18,'[9]IRR MES'!$C$5:$AK$600,5),"")</f>
        <v>#REF!</v>
      </c>
      <c r="AZ18" s="247" t="e">
        <f>IF(B18&lt;&gt;"",VLOOKUP(B18,'[9]IRR MES'!$C$5:$AK$600,6),"")</f>
        <v>#REF!</v>
      </c>
      <c r="BA18" s="181" t="e">
        <f>IF(B18&lt;&gt;"",VLOOKUP(B18,'[9]IRR MES'!$C$5:$AK$600,8),"")</f>
        <v>#REF!</v>
      </c>
      <c r="BB18" s="247" t="e">
        <f>IF(B18&lt;&gt;"",VLOOKUP(B18,'[9]IRR MES'!$C$5:$AK$600,9),"")</f>
        <v>#REF!</v>
      </c>
      <c r="BC18" s="247" t="e">
        <f>IF(B18&lt;&gt;"",VLOOKUP(B18,'[9]IRR MES'!$C$5:$AK$600,12),"")</f>
        <v>#REF!</v>
      </c>
      <c r="BD18" s="181" t="e">
        <f>IF(B18&lt;&gt;"",VLOOKUP(B18,'[9]IRR MES'!$C$5:$AK$600,14),"")</f>
        <v>#REF!</v>
      </c>
      <c r="BE18" s="247" t="e">
        <f>IF(B18&lt;&gt;"",VLOOKUP(B18,'[9]IRR MES'!$C$5:$AK$600,15),"")</f>
        <v>#REF!</v>
      </c>
      <c r="BF18" s="181" t="e">
        <f>IF(B18&lt;&gt;"",VLOOKUP(B18,'[9]IRR MES'!$C$5:$AK$600,17),"")</f>
        <v>#REF!</v>
      </c>
      <c r="BG18" s="247" t="e">
        <f>IF(B18&lt;&gt;"",VLOOKUP(B18,'[9]IRR MES'!$C$5:$AK$600,18),"")</f>
        <v>#REF!</v>
      </c>
      <c r="BH18" s="181" t="e">
        <f>IF(B18&lt;&gt;"",VLOOKUP(B18,'[9]IRR MES'!$C$5:$AK$600,20),"")</f>
        <v>#REF!</v>
      </c>
      <c r="BI18" s="247" t="e">
        <f>IF(B18&lt;&gt;"",VLOOKUP(B18,'[9]IRR MES'!$C$5:$AK$600,21),"")</f>
        <v>#REF!</v>
      </c>
      <c r="BJ18" s="181" t="e">
        <f>IF(B18&lt;&gt;"",VLOOKUP(B18,'[9]IRR MES'!$C$5:$AK$600,23),"")</f>
        <v>#REF!</v>
      </c>
      <c r="BK18" s="247" t="e">
        <f>IF(B18&lt;&gt;"",VLOOKUP(B18,'[9]IRR MES'!$C$5:$AK$600,24),"")</f>
        <v>#REF!</v>
      </c>
      <c r="BL18" s="181" t="e">
        <f>IF(B18&lt;&gt;"",VLOOKUP(B18,'[9]IRR MES'!$C$5:$AK$600,26),"")</f>
        <v>#REF!</v>
      </c>
      <c r="BM18" s="247" t="e">
        <f>IF(B18&lt;&gt;"",VLOOKUP(B18,'[9]IRR MES'!$C$5:$AK$600,27),"")</f>
        <v>#REF!</v>
      </c>
      <c r="BN18" s="181" t="e">
        <f>IF(B18&lt;&gt;"",VLOOKUP(B18,'[9]IRR MES'!$C$5:$AK$600,29),"")</f>
        <v>#REF!</v>
      </c>
      <c r="BO18" s="247" t="e">
        <f>IF(B18&lt;&gt;"",VLOOKUP(B18,'[9]IRR MES'!$C$5:$AK$600,30),"")</f>
        <v>#REF!</v>
      </c>
      <c r="BP18" s="181" t="e">
        <f>IF(B18&lt;&gt;"",VLOOKUP(B18,'[9]IRR MES'!$C$5:$AK$600,32),"")</f>
        <v>#REF!</v>
      </c>
      <c r="BQ18" s="181" t="e">
        <f>IF(B18&lt;&gt;"",VLOOKUP(B18,'[9]IRR MES'!$C$5:$AK$600,33),"")</f>
        <v>#REF!</v>
      </c>
      <c r="BR18" s="181" t="e">
        <f t="shared" si="27"/>
        <v>#REF!</v>
      </c>
      <c r="BS18" s="181" t="e">
        <f>IF(B18&lt;&gt;"",VLOOKUP(B18,'[9]IRR MES'!$C$5:$AK$600,34),"")</f>
        <v>#REF!</v>
      </c>
      <c r="BT18" s="248" t="e">
        <f>IF(B18&lt;&gt;"",VLOOKUP(B18,'[9]IRR MES'!$C$1:$AK$600,4),"")</f>
        <v>#REF!</v>
      </c>
      <c r="BU18" s="248" t="e">
        <f>IF(B18&lt;&gt;"",VLOOKUP(B18,'[9]IRR MES'!$C$1:$AK$600,7),"")</f>
        <v>#REF!</v>
      </c>
      <c r="BV18" s="248" t="e">
        <f>IF(B18&lt;&gt;"",VLOOKUP(B18,'[9]IRR MES'!$C$1:$AK$600,10),"")</f>
        <v>#REF!</v>
      </c>
      <c r="BW18" s="248" t="e">
        <f>IF(B18&lt;&gt;"",VLOOKUP(B18,'[9]IRR MES'!$C$1:$AK$600,13),"")</f>
        <v>#REF!</v>
      </c>
      <c r="BX18" s="248" t="e">
        <f>IF(B18&lt;&gt;"",VLOOKUP(B18,'[9]IRR MES'!$C$1:$AK$600,16),"")</f>
        <v>#REF!</v>
      </c>
      <c r="BY18" s="248" t="e">
        <f>IF(B18&lt;&gt;"",VLOOKUP(B18,'[9]IRR MES'!$C$1:$AK$600,19),"")</f>
        <v>#REF!</v>
      </c>
      <c r="BZ18" s="248" t="e">
        <f>IF(B18&lt;&gt;"",VLOOKUP(B18,'[9]IRR MES'!$C$1:$AK$600,22),"")</f>
        <v>#REF!</v>
      </c>
      <c r="CA18" s="248" t="e">
        <f>IF(B18&lt;&gt;"",VLOOKUP(B18,'[9]IRR MES'!$C$1:$AK$600,25),"")</f>
        <v>#REF!</v>
      </c>
      <c r="CB18" s="248" t="e">
        <f>IF(B18&lt;&gt;"",VLOOKUP(B18,'[9]IRR MES'!$C$1:$AK$600,28),"")</f>
        <v>#REF!</v>
      </c>
      <c r="CC18" s="248" t="e">
        <f>IF(B18&lt;&gt;"",VLOOKUP(B18,'[9]IRR MES'!$C$1:$AK$600,31),"")</f>
        <v>#REF!</v>
      </c>
      <c r="CD18" s="249" t="e">
        <f>#REF!</f>
        <v>#REF!</v>
      </c>
    </row>
    <row r="19" spans="1:82" x14ac:dyDescent="0.2">
      <c r="A19" s="10" t="e">
        <f t="shared" si="2"/>
        <v>#REF!</v>
      </c>
      <c r="B19" s="50" t="e">
        <f>#REF!</f>
        <v>#REF!</v>
      </c>
      <c r="C19" s="38">
        <f>'LEVANTAMENTO DADOS'!B16</f>
        <v>2515.4699999999998</v>
      </c>
      <c r="D19" s="63" t="e">
        <f>'BASE DE CALCULO IR'!W19</f>
        <v>#REF!</v>
      </c>
      <c r="E19" s="63"/>
      <c r="F19" s="60"/>
      <c r="G19" s="63"/>
      <c r="H19" s="63"/>
      <c r="I19" s="63"/>
      <c r="J19" s="63"/>
      <c r="K19" s="61"/>
      <c r="L19" s="61"/>
      <c r="M19" s="61"/>
      <c r="N19" s="60"/>
      <c r="O19" s="60"/>
      <c r="P19" s="60"/>
      <c r="Q19" s="62"/>
      <c r="R19" s="62" t="e">
        <f t="shared" si="3"/>
        <v>#REF!</v>
      </c>
      <c r="S19" s="63" t="e">
        <f t="shared" si="4"/>
        <v>#REF!</v>
      </c>
      <c r="T19" s="250"/>
      <c r="U19" s="63" t="e">
        <f t="shared" si="5"/>
        <v>#REF!</v>
      </c>
      <c r="V19" s="63" t="e">
        <f>#REF!</f>
        <v>#REF!</v>
      </c>
      <c r="W19" s="63" t="e">
        <f t="shared" si="6"/>
        <v>#REF!</v>
      </c>
      <c r="X19" s="242" t="e">
        <f t="shared" si="7"/>
        <v>#REF!</v>
      </c>
      <c r="Y19" s="34" t="e">
        <f t="shared" si="28"/>
        <v>#REF!</v>
      </c>
      <c r="Z19" s="34" t="e">
        <f t="shared" si="8"/>
        <v>#REF!</v>
      </c>
      <c r="AA19" s="176" t="e">
        <f t="shared" si="9"/>
        <v>#REF!</v>
      </c>
      <c r="AB19" s="11" t="e">
        <f t="shared" si="10"/>
        <v>#REF!</v>
      </c>
      <c r="AC19" s="245" t="e">
        <f t="shared" si="11"/>
        <v>#REF!</v>
      </c>
      <c r="AD19" s="245" t="e">
        <f t="shared" si="12"/>
        <v>#REF!</v>
      </c>
      <c r="AE19" s="245"/>
      <c r="AF19" s="245" t="e">
        <f t="shared" si="13"/>
        <v>#REF!</v>
      </c>
      <c r="AG19" s="173" t="e">
        <f t="shared" si="14"/>
        <v>#REF!</v>
      </c>
      <c r="AH19" s="51" t="e">
        <f t="shared" si="15"/>
        <v>#REF!</v>
      </c>
      <c r="AI19" s="63" t="e">
        <f>IF(B19&lt;&gt;"",VLOOKUP(B19,'[9]IRR MES'!$C$15:$AK$600,32),"")</f>
        <v>#REF!</v>
      </c>
      <c r="AJ19" s="246" t="e">
        <f t="shared" si="16"/>
        <v>#REF!</v>
      </c>
      <c r="AK19" s="181" t="e">
        <f t="shared" si="17"/>
        <v>#REF!</v>
      </c>
      <c r="AL19" s="181" t="e">
        <f t="shared" si="18"/>
        <v>#REF!</v>
      </c>
      <c r="AM19" s="181" t="e">
        <f t="shared" si="19"/>
        <v>#REF!</v>
      </c>
      <c r="AN19" s="181" t="e">
        <f t="shared" si="20"/>
        <v>#REF!</v>
      </c>
      <c r="AO19" s="181" t="e">
        <f t="shared" si="21"/>
        <v>#REF!</v>
      </c>
      <c r="AP19" s="181" t="e">
        <f t="shared" si="22"/>
        <v>#REF!</v>
      </c>
      <c r="AQ19" s="181" t="e">
        <f t="shared" si="23"/>
        <v>#REF!</v>
      </c>
      <c r="AR19" s="181" t="e">
        <f t="shared" si="24"/>
        <v>#REF!</v>
      </c>
      <c r="AS19" s="181" t="e">
        <f t="shared" si="25"/>
        <v>#REF!</v>
      </c>
      <c r="AT19" s="181" t="e">
        <f t="shared" si="26"/>
        <v>#REF!</v>
      </c>
      <c r="AU19" s="181"/>
      <c r="AV19" s="63"/>
      <c r="AW19" s="181" t="e">
        <f>IF(B19&lt;&gt;"",VLOOKUP(B19,'[9]IRR MES'!$C$5:$AK$600,2),"")</f>
        <v>#REF!</v>
      </c>
      <c r="AX19" s="247" t="e">
        <f>IF(B19&lt;&gt;"",VLOOKUP(B19,'[9]IRR MES'!$C$5:$AK$600,3),"")</f>
        <v>#REF!</v>
      </c>
      <c r="AY19" s="181" t="e">
        <f>IF(B19&lt;&gt;"",VLOOKUP(B19,'[9]IRR MES'!$C$5:$AK$600,5),"")</f>
        <v>#REF!</v>
      </c>
      <c r="AZ19" s="247" t="e">
        <f>IF(B19&lt;&gt;"",VLOOKUP(B19,'[9]IRR MES'!$C$5:$AK$600,6),"")</f>
        <v>#REF!</v>
      </c>
      <c r="BA19" s="181" t="e">
        <f>IF(B19&lt;&gt;"",VLOOKUP(B19,'[9]IRR MES'!$C$5:$AK$600,8),"")</f>
        <v>#REF!</v>
      </c>
      <c r="BB19" s="247" t="e">
        <f>IF(B19&lt;&gt;"",VLOOKUP(B19,'[9]IRR MES'!$C$5:$AK$600,9),"")</f>
        <v>#REF!</v>
      </c>
      <c r="BC19" s="247" t="e">
        <f>IF(B19&lt;&gt;"",VLOOKUP(B19,'[9]IRR MES'!$C$5:$AK$600,12),"")</f>
        <v>#REF!</v>
      </c>
      <c r="BD19" s="181" t="e">
        <f>IF(B19&lt;&gt;"",VLOOKUP(B19,'[9]IRR MES'!$C$5:$AK$600,14),"")</f>
        <v>#REF!</v>
      </c>
      <c r="BE19" s="247" t="e">
        <f>IF(B19&lt;&gt;"",VLOOKUP(B19,'[9]IRR MES'!$C$5:$AK$600,15),"")</f>
        <v>#REF!</v>
      </c>
      <c r="BF19" s="181" t="e">
        <f>IF(B19&lt;&gt;"",VLOOKUP(B19,'[9]IRR MES'!$C$5:$AK$600,17),"")</f>
        <v>#REF!</v>
      </c>
      <c r="BG19" s="247" t="e">
        <f>IF(B19&lt;&gt;"",VLOOKUP(B19,'[9]IRR MES'!$C$5:$AK$600,18),"")</f>
        <v>#REF!</v>
      </c>
      <c r="BH19" s="181" t="e">
        <f>IF(B19&lt;&gt;"",VLOOKUP(B19,'[9]IRR MES'!$C$5:$AK$600,20),"")</f>
        <v>#REF!</v>
      </c>
      <c r="BI19" s="247" t="e">
        <f>IF(B19&lt;&gt;"",VLOOKUP(B19,'[9]IRR MES'!$C$5:$AK$600,21),"")</f>
        <v>#REF!</v>
      </c>
      <c r="BJ19" s="181" t="e">
        <f>IF(B19&lt;&gt;"",VLOOKUP(B19,'[9]IRR MES'!$C$5:$AK$600,23),"")</f>
        <v>#REF!</v>
      </c>
      <c r="BK19" s="247" t="e">
        <f>IF(B19&lt;&gt;"",VLOOKUP(B19,'[9]IRR MES'!$C$5:$AK$600,24),"")</f>
        <v>#REF!</v>
      </c>
      <c r="BL19" s="181" t="e">
        <f>IF(B19&lt;&gt;"",VLOOKUP(B19,'[9]IRR MES'!$C$5:$AK$600,26),"")</f>
        <v>#REF!</v>
      </c>
      <c r="BM19" s="247" t="e">
        <f>IF(B19&lt;&gt;"",VLOOKUP(B19,'[9]IRR MES'!$C$5:$AK$600,27),"")</f>
        <v>#REF!</v>
      </c>
      <c r="BN19" s="181" t="e">
        <f>IF(B19&lt;&gt;"",VLOOKUP(B19,'[9]IRR MES'!$C$5:$AK$600,29),"")</f>
        <v>#REF!</v>
      </c>
      <c r="BO19" s="247" t="e">
        <f>IF(B19&lt;&gt;"",VLOOKUP(B19,'[9]IRR MES'!$C$5:$AK$600,30),"")</f>
        <v>#REF!</v>
      </c>
      <c r="BP19" s="181" t="e">
        <f>IF(B19&lt;&gt;"",VLOOKUP(B19,'[9]IRR MES'!$C$5:$AK$600,32),"")</f>
        <v>#REF!</v>
      </c>
      <c r="BQ19" s="181" t="e">
        <f>IF(B19&lt;&gt;"",VLOOKUP(B19,'[9]IRR MES'!$C$5:$AK$600,33),"")</f>
        <v>#REF!</v>
      </c>
      <c r="BR19" s="181" t="e">
        <f t="shared" si="27"/>
        <v>#REF!</v>
      </c>
      <c r="BS19" s="181" t="e">
        <f>IF(B19&lt;&gt;"",VLOOKUP(B19,'[9]IRR MES'!$C$5:$AK$600,34),"")</f>
        <v>#REF!</v>
      </c>
      <c r="BT19" s="248" t="e">
        <f>IF(B19&lt;&gt;"",VLOOKUP(B19,'[9]IRR MES'!$C$1:$AK$600,4),"")</f>
        <v>#REF!</v>
      </c>
      <c r="BU19" s="248" t="e">
        <f>IF(B19&lt;&gt;"",VLOOKUP(B19,'[9]IRR MES'!$C$1:$AK$600,7),"")</f>
        <v>#REF!</v>
      </c>
      <c r="BV19" s="248" t="e">
        <f>IF(B19&lt;&gt;"",VLOOKUP(B19,'[9]IRR MES'!$C$1:$AK$600,10),"")</f>
        <v>#REF!</v>
      </c>
      <c r="BW19" s="248" t="e">
        <f>IF(B19&lt;&gt;"",VLOOKUP(B19,'[9]IRR MES'!$C$1:$AK$600,13),"")</f>
        <v>#REF!</v>
      </c>
      <c r="BX19" s="248" t="e">
        <f>IF(B19&lt;&gt;"",VLOOKUP(B19,'[9]IRR MES'!$C$1:$AK$600,16),"")</f>
        <v>#REF!</v>
      </c>
      <c r="BY19" s="248" t="e">
        <f>IF(B19&lt;&gt;"",VLOOKUP(B19,'[9]IRR MES'!$C$1:$AK$600,19),"")</f>
        <v>#REF!</v>
      </c>
      <c r="BZ19" s="248" t="e">
        <f>IF(B19&lt;&gt;"",VLOOKUP(B19,'[9]IRR MES'!$C$1:$AK$600,22),"")</f>
        <v>#REF!</v>
      </c>
      <c r="CA19" s="248" t="e">
        <f>IF(B19&lt;&gt;"",VLOOKUP(B19,'[9]IRR MES'!$C$1:$AK$600,25),"")</f>
        <v>#REF!</v>
      </c>
      <c r="CB19" s="248" t="e">
        <f>IF(B19&lt;&gt;"",VLOOKUP(B19,'[9]IRR MES'!$C$1:$AK$600,28),"")</f>
        <v>#REF!</v>
      </c>
      <c r="CC19" s="248" t="e">
        <f>IF(B19&lt;&gt;"",VLOOKUP(B19,'[9]IRR MES'!$C$1:$AK$600,31),"")</f>
        <v>#REF!</v>
      </c>
      <c r="CD19" s="249" t="e">
        <f>#REF!</f>
        <v>#REF!</v>
      </c>
    </row>
    <row r="20" spans="1:82" x14ac:dyDescent="0.2">
      <c r="A20" s="10" t="e">
        <f t="shared" si="2"/>
        <v>#REF!</v>
      </c>
      <c r="B20" s="50" t="e">
        <f>#REF!</f>
        <v>#REF!</v>
      </c>
      <c r="C20" s="38">
        <f>'LEVANTAMENTO DADOS'!B17</f>
        <v>2856.38</v>
      </c>
      <c r="D20" s="63" t="e">
        <f>'BASE DE CALCULO IR'!W20</f>
        <v>#REF!</v>
      </c>
      <c r="E20" s="63"/>
      <c r="F20" s="60"/>
      <c r="G20" s="63"/>
      <c r="H20" s="63"/>
      <c r="I20" s="63"/>
      <c r="J20" s="63"/>
      <c r="K20" s="61"/>
      <c r="L20" s="61"/>
      <c r="M20" s="61"/>
      <c r="N20" s="60"/>
      <c r="O20" s="60"/>
      <c r="P20" s="60"/>
      <c r="Q20" s="62"/>
      <c r="R20" s="62" t="e">
        <f t="shared" si="3"/>
        <v>#REF!</v>
      </c>
      <c r="S20" s="63" t="e">
        <f t="shared" si="4"/>
        <v>#REF!</v>
      </c>
      <c r="T20" s="250"/>
      <c r="U20" s="63" t="e">
        <f t="shared" si="5"/>
        <v>#REF!</v>
      </c>
      <c r="V20" s="63" t="e">
        <f>#REF!</f>
        <v>#REF!</v>
      </c>
      <c r="W20" s="63" t="e">
        <f t="shared" si="6"/>
        <v>#REF!</v>
      </c>
      <c r="X20" s="242" t="e">
        <f t="shared" si="7"/>
        <v>#REF!</v>
      </c>
      <c r="Y20" s="34" t="e">
        <f t="shared" si="28"/>
        <v>#REF!</v>
      </c>
      <c r="Z20" s="34" t="e">
        <f t="shared" si="8"/>
        <v>#REF!</v>
      </c>
      <c r="AA20" s="176" t="e">
        <f t="shared" si="9"/>
        <v>#REF!</v>
      </c>
      <c r="AB20" s="11" t="e">
        <f t="shared" si="10"/>
        <v>#REF!</v>
      </c>
      <c r="AC20" s="245" t="e">
        <f t="shared" si="11"/>
        <v>#REF!</v>
      </c>
      <c r="AD20" s="245" t="e">
        <f t="shared" si="12"/>
        <v>#REF!</v>
      </c>
      <c r="AE20" s="245"/>
      <c r="AF20" s="245" t="e">
        <f t="shared" si="13"/>
        <v>#REF!</v>
      </c>
      <c r="AG20" s="173" t="e">
        <f t="shared" si="14"/>
        <v>#REF!</v>
      </c>
      <c r="AH20" s="51" t="e">
        <f t="shared" si="15"/>
        <v>#REF!</v>
      </c>
      <c r="AI20" s="63" t="e">
        <f>IF(B20&lt;&gt;"",VLOOKUP(B20,'[9]IRR MES'!$C$15:$AK$600,32),"")</f>
        <v>#REF!</v>
      </c>
      <c r="AJ20" s="246" t="e">
        <f t="shared" si="16"/>
        <v>#REF!</v>
      </c>
      <c r="AK20" s="181" t="e">
        <f t="shared" si="17"/>
        <v>#REF!</v>
      </c>
      <c r="AL20" s="181" t="e">
        <f t="shared" si="18"/>
        <v>#REF!</v>
      </c>
      <c r="AM20" s="181" t="e">
        <f t="shared" si="19"/>
        <v>#REF!</v>
      </c>
      <c r="AN20" s="181" t="e">
        <f t="shared" si="20"/>
        <v>#REF!</v>
      </c>
      <c r="AO20" s="181" t="e">
        <f t="shared" si="21"/>
        <v>#REF!</v>
      </c>
      <c r="AP20" s="181" t="e">
        <f t="shared" si="22"/>
        <v>#REF!</v>
      </c>
      <c r="AQ20" s="181" t="e">
        <f t="shared" si="23"/>
        <v>#REF!</v>
      </c>
      <c r="AR20" s="181" t="e">
        <f t="shared" si="24"/>
        <v>#REF!</v>
      </c>
      <c r="AS20" s="181" t="e">
        <f t="shared" si="25"/>
        <v>#REF!</v>
      </c>
      <c r="AT20" s="181" t="e">
        <f t="shared" si="26"/>
        <v>#REF!</v>
      </c>
      <c r="AU20" s="181"/>
      <c r="AV20" s="63"/>
      <c r="AW20" s="181" t="e">
        <f>IF(B20&lt;&gt;"",VLOOKUP(B20,'[9]IRR MES'!$C$5:$AK$600,2),"")</f>
        <v>#REF!</v>
      </c>
      <c r="AX20" s="247" t="e">
        <f>IF(B20&lt;&gt;"",VLOOKUP(B20,'[9]IRR MES'!$C$5:$AK$600,3),"")</f>
        <v>#REF!</v>
      </c>
      <c r="AY20" s="181" t="e">
        <f>IF(B20&lt;&gt;"",VLOOKUP(B20,'[9]IRR MES'!$C$5:$AK$600,5),"")</f>
        <v>#REF!</v>
      </c>
      <c r="AZ20" s="247" t="e">
        <f>IF(B20&lt;&gt;"",VLOOKUP(B20,'[9]IRR MES'!$C$5:$AK$600,6),"")</f>
        <v>#REF!</v>
      </c>
      <c r="BA20" s="181" t="e">
        <f>IF(B20&lt;&gt;"",VLOOKUP(B20,'[9]IRR MES'!$C$5:$AK$600,8),"")</f>
        <v>#REF!</v>
      </c>
      <c r="BB20" s="247" t="e">
        <f>IF(B20&lt;&gt;"",VLOOKUP(B20,'[9]IRR MES'!$C$5:$AK$600,9),"")</f>
        <v>#REF!</v>
      </c>
      <c r="BC20" s="247" t="e">
        <f>IF(B20&lt;&gt;"",VLOOKUP(B20,'[9]IRR MES'!$C$5:$AK$600,12),"")</f>
        <v>#REF!</v>
      </c>
      <c r="BD20" s="181" t="e">
        <f>IF(B20&lt;&gt;"",VLOOKUP(B20,'[9]IRR MES'!$C$5:$AK$600,14),"")</f>
        <v>#REF!</v>
      </c>
      <c r="BE20" s="247" t="e">
        <f>IF(B20&lt;&gt;"",VLOOKUP(B20,'[9]IRR MES'!$C$5:$AK$600,15),"")</f>
        <v>#REF!</v>
      </c>
      <c r="BF20" s="181" t="e">
        <f>IF(B20&lt;&gt;"",VLOOKUP(B20,'[9]IRR MES'!$C$5:$AK$600,17),"")</f>
        <v>#REF!</v>
      </c>
      <c r="BG20" s="247" t="e">
        <f>IF(B20&lt;&gt;"",VLOOKUP(B20,'[9]IRR MES'!$C$5:$AK$600,18),"")</f>
        <v>#REF!</v>
      </c>
      <c r="BH20" s="181" t="e">
        <f>IF(B20&lt;&gt;"",VLOOKUP(B20,'[9]IRR MES'!$C$5:$AK$600,20),"")</f>
        <v>#REF!</v>
      </c>
      <c r="BI20" s="247" t="e">
        <f>IF(B20&lt;&gt;"",VLOOKUP(B20,'[9]IRR MES'!$C$5:$AK$600,21),"")</f>
        <v>#REF!</v>
      </c>
      <c r="BJ20" s="181" t="e">
        <f>IF(B20&lt;&gt;"",VLOOKUP(B20,'[9]IRR MES'!$C$5:$AK$600,23),"")</f>
        <v>#REF!</v>
      </c>
      <c r="BK20" s="247" t="e">
        <f>IF(B20&lt;&gt;"",VLOOKUP(B20,'[9]IRR MES'!$C$5:$AK$600,24),"")</f>
        <v>#REF!</v>
      </c>
      <c r="BL20" s="181" t="e">
        <f>IF(B20&lt;&gt;"",VLOOKUP(B20,'[9]IRR MES'!$C$5:$AK$600,26),"")</f>
        <v>#REF!</v>
      </c>
      <c r="BM20" s="247" t="e">
        <f>IF(B20&lt;&gt;"",VLOOKUP(B20,'[9]IRR MES'!$C$5:$AK$600,27),"")</f>
        <v>#REF!</v>
      </c>
      <c r="BN20" s="181" t="e">
        <f>IF(B20&lt;&gt;"",VLOOKUP(B20,'[9]IRR MES'!$C$5:$AK$600,29),"")</f>
        <v>#REF!</v>
      </c>
      <c r="BO20" s="247" t="e">
        <f>IF(B20&lt;&gt;"",VLOOKUP(B20,'[9]IRR MES'!$C$5:$AK$600,30),"")</f>
        <v>#REF!</v>
      </c>
      <c r="BP20" s="181" t="e">
        <f>IF(B20&lt;&gt;"",VLOOKUP(B20,'[9]IRR MES'!$C$5:$AK$600,32),"")</f>
        <v>#REF!</v>
      </c>
      <c r="BQ20" s="181" t="e">
        <f>IF(B20&lt;&gt;"",VLOOKUP(B20,'[9]IRR MES'!$C$5:$AK$600,33),"")</f>
        <v>#REF!</v>
      </c>
      <c r="BR20" s="181" t="e">
        <f t="shared" si="27"/>
        <v>#REF!</v>
      </c>
      <c r="BS20" s="181" t="e">
        <f>IF(B20&lt;&gt;"",VLOOKUP(B20,'[9]IRR MES'!$C$5:$AK$600,34),"")</f>
        <v>#REF!</v>
      </c>
      <c r="BT20" s="248" t="e">
        <f>IF(B20&lt;&gt;"",VLOOKUP(B20,'[9]IRR MES'!$C$1:$AK$600,4),"")</f>
        <v>#REF!</v>
      </c>
      <c r="BU20" s="248" t="e">
        <f>IF(B20&lt;&gt;"",VLOOKUP(B20,'[9]IRR MES'!$C$1:$AK$600,7),"")</f>
        <v>#REF!</v>
      </c>
      <c r="BV20" s="248" t="e">
        <f>IF(B20&lt;&gt;"",VLOOKUP(B20,'[9]IRR MES'!$C$1:$AK$600,10),"")</f>
        <v>#REF!</v>
      </c>
      <c r="BW20" s="248" t="e">
        <f>IF(B20&lt;&gt;"",VLOOKUP(B20,'[9]IRR MES'!$C$1:$AK$600,13),"")</f>
        <v>#REF!</v>
      </c>
      <c r="BX20" s="248" t="e">
        <f>IF(B20&lt;&gt;"",VLOOKUP(B20,'[9]IRR MES'!$C$1:$AK$600,16),"")</f>
        <v>#REF!</v>
      </c>
      <c r="BY20" s="248" t="e">
        <f>IF(B20&lt;&gt;"",VLOOKUP(B20,'[9]IRR MES'!$C$1:$AK$600,19),"")</f>
        <v>#REF!</v>
      </c>
      <c r="BZ20" s="248" t="e">
        <f>IF(B20&lt;&gt;"",VLOOKUP(B20,'[9]IRR MES'!$C$1:$AK$600,22),"")</f>
        <v>#REF!</v>
      </c>
      <c r="CA20" s="248" t="e">
        <f>IF(B20&lt;&gt;"",VLOOKUP(B20,'[9]IRR MES'!$C$1:$AK$600,25),"")</f>
        <v>#REF!</v>
      </c>
      <c r="CB20" s="248" t="e">
        <f>IF(B20&lt;&gt;"",VLOOKUP(B20,'[9]IRR MES'!$C$1:$AK$600,28),"")</f>
        <v>#REF!</v>
      </c>
      <c r="CC20" s="248" t="e">
        <f>IF(B20&lt;&gt;"",VLOOKUP(B20,'[9]IRR MES'!$C$1:$AK$600,31),"")</f>
        <v>#REF!</v>
      </c>
      <c r="CD20" s="249" t="e">
        <f>#REF!</f>
        <v>#REF!</v>
      </c>
    </row>
    <row r="21" spans="1:82" x14ac:dyDescent="0.2">
      <c r="A21" s="10" t="e">
        <f t="shared" si="2"/>
        <v>#REF!</v>
      </c>
      <c r="B21" s="50" t="e">
        <f>#REF!</f>
        <v>#REF!</v>
      </c>
      <c r="C21" s="38">
        <f>'LEVANTAMENTO DADOS'!B18</f>
        <v>2290.9699999999998</v>
      </c>
      <c r="D21" s="63" t="e">
        <f>'BASE DE CALCULO IR'!W21</f>
        <v>#REF!</v>
      </c>
      <c r="E21" s="63"/>
      <c r="F21" s="60"/>
      <c r="G21" s="63"/>
      <c r="H21" s="63"/>
      <c r="I21" s="63"/>
      <c r="J21" s="63"/>
      <c r="K21" s="61"/>
      <c r="L21" s="61"/>
      <c r="M21" s="61"/>
      <c r="N21" s="60"/>
      <c r="O21" s="60"/>
      <c r="P21" s="60"/>
      <c r="Q21" s="62"/>
      <c r="R21" s="62" t="e">
        <f t="shared" si="3"/>
        <v>#REF!</v>
      </c>
      <c r="S21" s="63" t="e">
        <f t="shared" si="4"/>
        <v>#REF!</v>
      </c>
      <c r="T21" s="250"/>
      <c r="U21" s="63" t="e">
        <f t="shared" si="5"/>
        <v>#REF!</v>
      </c>
      <c r="V21" s="63" t="e">
        <f>#REF!</f>
        <v>#REF!</v>
      </c>
      <c r="W21" s="63" t="e">
        <f t="shared" si="6"/>
        <v>#REF!</v>
      </c>
      <c r="X21" s="242" t="e">
        <f t="shared" si="7"/>
        <v>#REF!</v>
      </c>
      <c r="Y21" s="34" t="e">
        <f t="shared" si="28"/>
        <v>#REF!</v>
      </c>
      <c r="Z21" s="34" t="e">
        <f t="shared" si="8"/>
        <v>#REF!</v>
      </c>
      <c r="AA21" s="176" t="e">
        <f t="shared" si="9"/>
        <v>#REF!</v>
      </c>
      <c r="AB21" s="11" t="e">
        <f t="shared" si="10"/>
        <v>#REF!</v>
      </c>
      <c r="AC21" s="245" t="e">
        <f t="shared" si="11"/>
        <v>#REF!</v>
      </c>
      <c r="AD21" s="245" t="e">
        <f t="shared" si="12"/>
        <v>#REF!</v>
      </c>
      <c r="AE21" s="245"/>
      <c r="AF21" s="245" t="e">
        <f t="shared" si="13"/>
        <v>#REF!</v>
      </c>
      <c r="AG21" s="173" t="e">
        <f t="shared" si="14"/>
        <v>#REF!</v>
      </c>
      <c r="AH21" s="51" t="e">
        <f t="shared" si="15"/>
        <v>#REF!</v>
      </c>
      <c r="AI21" s="63" t="e">
        <f>IF(B21&lt;&gt;"",VLOOKUP(B21,'[9]IRR MES'!$C$15:$AK$600,32),"")</f>
        <v>#REF!</v>
      </c>
      <c r="AJ21" s="246" t="e">
        <f t="shared" si="16"/>
        <v>#REF!</v>
      </c>
      <c r="AK21" s="181" t="e">
        <f t="shared" si="17"/>
        <v>#REF!</v>
      </c>
      <c r="AL21" s="181" t="e">
        <f t="shared" si="18"/>
        <v>#REF!</v>
      </c>
      <c r="AM21" s="181" t="e">
        <f t="shared" si="19"/>
        <v>#REF!</v>
      </c>
      <c r="AN21" s="181" t="e">
        <f t="shared" si="20"/>
        <v>#REF!</v>
      </c>
      <c r="AO21" s="181" t="e">
        <f t="shared" si="21"/>
        <v>#REF!</v>
      </c>
      <c r="AP21" s="181" t="e">
        <f t="shared" si="22"/>
        <v>#REF!</v>
      </c>
      <c r="AQ21" s="181" t="e">
        <f t="shared" si="23"/>
        <v>#REF!</v>
      </c>
      <c r="AR21" s="181" t="e">
        <f t="shared" si="24"/>
        <v>#REF!</v>
      </c>
      <c r="AS21" s="181" t="e">
        <f t="shared" si="25"/>
        <v>#REF!</v>
      </c>
      <c r="AT21" s="181" t="e">
        <f t="shared" si="26"/>
        <v>#REF!</v>
      </c>
      <c r="AU21" s="181"/>
      <c r="AV21" s="63"/>
      <c r="AW21" s="181" t="e">
        <f>IF(B21&lt;&gt;"",VLOOKUP(B21,'[9]IRR MES'!$C$5:$AK$600,2),"")</f>
        <v>#REF!</v>
      </c>
      <c r="AX21" s="247" t="e">
        <f>IF(B21&lt;&gt;"",VLOOKUP(B21,'[9]IRR MES'!$C$5:$AK$600,3),"")</f>
        <v>#REF!</v>
      </c>
      <c r="AY21" s="181" t="e">
        <f>IF(B21&lt;&gt;"",VLOOKUP(B21,'[9]IRR MES'!$C$5:$AK$600,5),"")</f>
        <v>#REF!</v>
      </c>
      <c r="AZ21" s="247" t="e">
        <f>IF(B21&lt;&gt;"",VLOOKUP(B21,'[9]IRR MES'!$C$5:$AK$600,6),"")</f>
        <v>#REF!</v>
      </c>
      <c r="BA21" s="181" t="e">
        <f>IF(B21&lt;&gt;"",VLOOKUP(B21,'[9]IRR MES'!$C$5:$AK$600,8),"")</f>
        <v>#REF!</v>
      </c>
      <c r="BB21" s="247" t="e">
        <f>IF(B21&lt;&gt;"",VLOOKUP(B21,'[9]IRR MES'!$C$5:$AK$600,9),"")</f>
        <v>#REF!</v>
      </c>
      <c r="BC21" s="247" t="e">
        <f>IF(B21&lt;&gt;"",VLOOKUP(B21,'[9]IRR MES'!$C$5:$AK$600,12),"")</f>
        <v>#REF!</v>
      </c>
      <c r="BD21" s="181" t="e">
        <f>IF(B21&lt;&gt;"",VLOOKUP(B21,'[9]IRR MES'!$C$5:$AK$600,14),"")</f>
        <v>#REF!</v>
      </c>
      <c r="BE21" s="247" t="e">
        <f>IF(B21&lt;&gt;"",VLOOKUP(B21,'[9]IRR MES'!$C$5:$AK$600,15),"")</f>
        <v>#REF!</v>
      </c>
      <c r="BF21" s="181" t="e">
        <f>IF(B21&lt;&gt;"",VLOOKUP(B21,'[9]IRR MES'!$C$5:$AK$600,17),"")</f>
        <v>#REF!</v>
      </c>
      <c r="BG21" s="247" t="e">
        <f>IF(B21&lt;&gt;"",VLOOKUP(B21,'[9]IRR MES'!$C$5:$AK$600,18),"")</f>
        <v>#REF!</v>
      </c>
      <c r="BH21" s="181" t="e">
        <f>IF(B21&lt;&gt;"",VLOOKUP(B21,'[9]IRR MES'!$C$5:$AK$600,20),"")</f>
        <v>#REF!</v>
      </c>
      <c r="BI21" s="247" t="e">
        <f>IF(B21&lt;&gt;"",VLOOKUP(B21,'[9]IRR MES'!$C$5:$AK$600,21),"")</f>
        <v>#REF!</v>
      </c>
      <c r="BJ21" s="181" t="e">
        <f>IF(B21&lt;&gt;"",VLOOKUP(B21,'[9]IRR MES'!$C$5:$AK$600,23),"")</f>
        <v>#REF!</v>
      </c>
      <c r="BK21" s="247" t="e">
        <f>IF(B21&lt;&gt;"",VLOOKUP(B21,'[9]IRR MES'!$C$5:$AK$600,24),"")</f>
        <v>#REF!</v>
      </c>
      <c r="BL21" s="181" t="e">
        <f>IF(B21&lt;&gt;"",VLOOKUP(B21,'[9]IRR MES'!$C$5:$AK$600,26),"")</f>
        <v>#REF!</v>
      </c>
      <c r="BM21" s="247" t="e">
        <f>IF(B21&lt;&gt;"",VLOOKUP(B21,'[9]IRR MES'!$C$5:$AK$600,27),"")</f>
        <v>#REF!</v>
      </c>
      <c r="BN21" s="181" t="e">
        <f>IF(B21&lt;&gt;"",VLOOKUP(B21,'[9]IRR MES'!$C$5:$AK$600,29),"")</f>
        <v>#REF!</v>
      </c>
      <c r="BO21" s="247" t="e">
        <f>IF(B21&lt;&gt;"",VLOOKUP(B21,'[9]IRR MES'!$C$5:$AK$600,30),"")</f>
        <v>#REF!</v>
      </c>
      <c r="BP21" s="181" t="e">
        <f>IF(B21&lt;&gt;"",VLOOKUP(B21,'[9]IRR MES'!$C$5:$AK$600,32),"")</f>
        <v>#REF!</v>
      </c>
      <c r="BQ21" s="181" t="e">
        <f>IF(B21&lt;&gt;"",VLOOKUP(B21,'[9]IRR MES'!$C$5:$AK$600,33),"")</f>
        <v>#REF!</v>
      </c>
      <c r="BR21" s="181" t="e">
        <f t="shared" si="27"/>
        <v>#REF!</v>
      </c>
      <c r="BS21" s="181" t="e">
        <f>IF(B21&lt;&gt;"",VLOOKUP(B21,'[9]IRR MES'!$C$5:$AK$600,34),"")</f>
        <v>#REF!</v>
      </c>
      <c r="BT21" s="248" t="e">
        <f>IF(B21&lt;&gt;"",VLOOKUP(B21,'[9]IRR MES'!$C$1:$AK$600,4),"")</f>
        <v>#REF!</v>
      </c>
      <c r="BU21" s="248" t="e">
        <f>IF(B21&lt;&gt;"",VLOOKUP(B21,'[9]IRR MES'!$C$1:$AK$600,7),"")</f>
        <v>#REF!</v>
      </c>
      <c r="BV21" s="248" t="e">
        <f>IF(B21&lt;&gt;"",VLOOKUP(B21,'[9]IRR MES'!$C$1:$AK$600,10),"")</f>
        <v>#REF!</v>
      </c>
      <c r="BW21" s="248" t="e">
        <f>IF(B21&lt;&gt;"",VLOOKUP(B21,'[9]IRR MES'!$C$1:$AK$600,13),"")</f>
        <v>#REF!</v>
      </c>
      <c r="BX21" s="248" t="e">
        <f>IF(B21&lt;&gt;"",VLOOKUP(B21,'[9]IRR MES'!$C$1:$AK$600,16),"")</f>
        <v>#REF!</v>
      </c>
      <c r="BY21" s="248" t="e">
        <f>IF(B21&lt;&gt;"",VLOOKUP(B21,'[9]IRR MES'!$C$1:$AK$600,19),"")</f>
        <v>#REF!</v>
      </c>
      <c r="BZ21" s="248" t="e">
        <f>IF(B21&lt;&gt;"",VLOOKUP(B21,'[9]IRR MES'!$C$1:$AK$600,22),"")</f>
        <v>#REF!</v>
      </c>
      <c r="CA21" s="248" t="e">
        <f>IF(B21&lt;&gt;"",VLOOKUP(B21,'[9]IRR MES'!$C$1:$AK$600,25),"")</f>
        <v>#REF!</v>
      </c>
      <c r="CB21" s="248" t="e">
        <f>IF(B21&lt;&gt;"",VLOOKUP(B21,'[9]IRR MES'!$C$1:$AK$600,28),"")</f>
        <v>#REF!</v>
      </c>
      <c r="CC21" s="248" t="e">
        <f>IF(B21&lt;&gt;"",VLOOKUP(B21,'[9]IRR MES'!$C$1:$AK$600,31),"")</f>
        <v>#REF!</v>
      </c>
      <c r="CD21" s="249" t="e">
        <f>#REF!</f>
        <v>#REF!</v>
      </c>
    </row>
    <row r="22" spans="1:82" x14ac:dyDescent="0.2">
      <c r="A22" s="10" t="e">
        <f t="shared" si="2"/>
        <v>#REF!</v>
      </c>
      <c r="B22" s="50" t="e">
        <f>#REF!</f>
        <v>#REF!</v>
      </c>
      <c r="C22" s="38">
        <f>'LEVANTAMENTO DADOS'!B19</f>
        <v>3229.86</v>
      </c>
      <c r="D22" s="63" t="e">
        <f>'BASE DE CALCULO IR'!W22</f>
        <v>#REF!</v>
      </c>
      <c r="E22" s="63"/>
      <c r="F22" s="60"/>
      <c r="G22" s="63"/>
      <c r="H22" s="63"/>
      <c r="I22" s="63"/>
      <c r="J22" s="63"/>
      <c r="K22" s="61"/>
      <c r="L22" s="61"/>
      <c r="M22" s="61"/>
      <c r="N22" s="60"/>
      <c r="O22" s="60"/>
      <c r="P22" s="60"/>
      <c r="Q22" s="62"/>
      <c r="R22" s="62" t="e">
        <f t="shared" si="3"/>
        <v>#REF!</v>
      </c>
      <c r="S22" s="63" t="e">
        <f t="shared" si="4"/>
        <v>#REF!</v>
      </c>
      <c r="T22" s="250"/>
      <c r="U22" s="63" t="e">
        <f t="shared" si="5"/>
        <v>#REF!</v>
      </c>
      <c r="V22" s="63" t="e">
        <f>#REF!</f>
        <v>#REF!</v>
      </c>
      <c r="W22" s="63" t="e">
        <f t="shared" si="6"/>
        <v>#REF!</v>
      </c>
      <c r="X22" s="242" t="e">
        <f t="shared" si="7"/>
        <v>#REF!</v>
      </c>
      <c r="Y22" s="34" t="e">
        <f t="shared" si="28"/>
        <v>#REF!</v>
      </c>
      <c r="Z22" s="34" t="e">
        <f t="shared" si="8"/>
        <v>#REF!</v>
      </c>
      <c r="AA22" s="176" t="e">
        <f t="shared" si="9"/>
        <v>#REF!</v>
      </c>
      <c r="AB22" s="11" t="e">
        <f t="shared" si="10"/>
        <v>#REF!</v>
      </c>
      <c r="AC22" s="245" t="e">
        <f t="shared" si="11"/>
        <v>#REF!</v>
      </c>
      <c r="AD22" s="245" t="e">
        <f t="shared" si="12"/>
        <v>#REF!</v>
      </c>
      <c r="AE22" s="245"/>
      <c r="AF22" s="245" t="e">
        <f t="shared" si="13"/>
        <v>#REF!</v>
      </c>
      <c r="AG22" s="173" t="e">
        <f t="shared" si="14"/>
        <v>#REF!</v>
      </c>
      <c r="AH22" s="51" t="e">
        <f t="shared" si="15"/>
        <v>#REF!</v>
      </c>
      <c r="AI22" s="63" t="e">
        <f>IF(B22&lt;&gt;"",VLOOKUP(B22,'[9]IRR MES'!$C$15:$AK$600,32),"")</f>
        <v>#REF!</v>
      </c>
      <c r="AJ22" s="246" t="e">
        <f t="shared" si="16"/>
        <v>#REF!</v>
      </c>
      <c r="AK22" s="181" t="e">
        <f t="shared" si="17"/>
        <v>#REF!</v>
      </c>
      <c r="AL22" s="181" t="e">
        <f t="shared" si="18"/>
        <v>#REF!</v>
      </c>
      <c r="AM22" s="181" t="e">
        <f t="shared" si="19"/>
        <v>#REF!</v>
      </c>
      <c r="AN22" s="181" t="e">
        <f t="shared" si="20"/>
        <v>#REF!</v>
      </c>
      <c r="AO22" s="181" t="e">
        <f t="shared" si="21"/>
        <v>#REF!</v>
      </c>
      <c r="AP22" s="181" t="e">
        <f t="shared" si="22"/>
        <v>#REF!</v>
      </c>
      <c r="AQ22" s="181" t="e">
        <f t="shared" si="23"/>
        <v>#REF!</v>
      </c>
      <c r="AR22" s="181" t="e">
        <f t="shared" si="24"/>
        <v>#REF!</v>
      </c>
      <c r="AS22" s="181" t="e">
        <f t="shared" si="25"/>
        <v>#REF!</v>
      </c>
      <c r="AT22" s="181" t="e">
        <f t="shared" si="26"/>
        <v>#REF!</v>
      </c>
      <c r="AU22" s="181"/>
      <c r="AV22" s="63"/>
      <c r="AW22" s="181" t="e">
        <f>IF(B22&lt;&gt;"",VLOOKUP(B22,'[9]IRR MES'!$C$5:$AK$600,2),"")</f>
        <v>#REF!</v>
      </c>
      <c r="AX22" s="247" t="e">
        <f>IF(B22&lt;&gt;"",VLOOKUP(B22,'[9]IRR MES'!$C$5:$AK$600,3),"")</f>
        <v>#REF!</v>
      </c>
      <c r="AY22" s="181" t="e">
        <f>IF(B22&lt;&gt;"",VLOOKUP(B22,'[9]IRR MES'!$C$5:$AK$600,5),"")</f>
        <v>#REF!</v>
      </c>
      <c r="AZ22" s="247" t="e">
        <f>IF(B22&lt;&gt;"",VLOOKUP(B22,'[9]IRR MES'!$C$5:$AK$600,6),"")</f>
        <v>#REF!</v>
      </c>
      <c r="BA22" s="181" t="e">
        <f>IF(B22&lt;&gt;"",VLOOKUP(B22,'[9]IRR MES'!$C$5:$AK$600,8),"")</f>
        <v>#REF!</v>
      </c>
      <c r="BB22" s="247" t="e">
        <f>IF(B22&lt;&gt;"",VLOOKUP(B22,'[9]IRR MES'!$C$5:$AK$600,9),"")</f>
        <v>#REF!</v>
      </c>
      <c r="BC22" s="247" t="e">
        <f>IF(B22&lt;&gt;"",VLOOKUP(B22,'[9]IRR MES'!$C$5:$AK$600,12),"")</f>
        <v>#REF!</v>
      </c>
      <c r="BD22" s="181" t="e">
        <f>IF(B22&lt;&gt;"",VLOOKUP(B22,'[9]IRR MES'!$C$5:$AK$600,14),"")</f>
        <v>#REF!</v>
      </c>
      <c r="BE22" s="247" t="e">
        <f>IF(B22&lt;&gt;"",VLOOKUP(B22,'[9]IRR MES'!$C$5:$AK$600,15),"")</f>
        <v>#REF!</v>
      </c>
      <c r="BF22" s="181" t="e">
        <f>IF(B22&lt;&gt;"",VLOOKUP(B22,'[9]IRR MES'!$C$5:$AK$600,17),"")</f>
        <v>#REF!</v>
      </c>
      <c r="BG22" s="247" t="e">
        <f>IF(B22&lt;&gt;"",VLOOKUP(B22,'[9]IRR MES'!$C$5:$AK$600,18),"")</f>
        <v>#REF!</v>
      </c>
      <c r="BH22" s="181" t="e">
        <f>IF(B22&lt;&gt;"",VLOOKUP(B22,'[9]IRR MES'!$C$5:$AK$600,20),"")</f>
        <v>#REF!</v>
      </c>
      <c r="BI22" s="247" t="e">
        <f>IF(B22&lt;&gt;"",VLOOKUP(B22,'[9]IRR MES'!$C$5:$AK$600,21),"")</f>
        <v>#REF!</v>
      </c>
      <c r="BJ22" s="181" t="e">
        <f>IF(B22&lt;&gt;"",VLOOKUP(B22,'[9]IRR MES'!$C$5:$AK$600,23),"")</f>
        <v>#REF!</v>
      </c>
      <c r="BK22" s="247" t="e">
        <f>IF(B22&lt;&gt;"",VLOOKUP(B22,'[9]IRR MES'!$C$5:$AK$600,24),"")</f>
        <v>#REF!</v>
      </c>
      <c r="BL22" s="181" t="e">
        <f>IF(B22&lt;&gt;"",VLOOKUP(B22,'[9]IRR MES'!$C$5:$AK$600,26),"")</f>
        <v>#REF!</v>
      </c>
      <c r="BM22" s="247" t="e">
        <f>IF(B22&lt;&gt;"",VLOOKUP(B22,'[9]IRR MES'!$C$5:$AK$600,27),"")</f>
        <v>#REF!</v>
      </c>
      <c r="BN22" s="181" t="e">
        <f>IF(B22&lt;&gt;"",VLOOKUP(B22,'[9]IRR MES'!$C$5:$AK$600,29),"")</f>
        <v>#REF!</v>
      </c>
      <c r="BO22" s="247" t="e">
        <f>IF(B22&lt;&gt;"",VLOOKUP(B22,'[9]IRR MES'!$C$5:$AK$600,30),"")</f>
        <v>#REF!</v>
      </c>
      <c r="BP22" s="181" t="e">
        <f>IF(B22&lt;&gt;"",VLOOKUP(B22,'[9]IRR MES'!$C$5:$AK$600,32),"")</f>
        <v>#REF!</v>
      </c>
      <c r="BQ22" s="181" t="e">
        <f>IF(B22&lt;&gt;"",VLOOKUP(B22,'[9]IRR MES'!$C$5:$AK$600,33),"")</f>
        <v>#REF!</v>
      </c>
      <c r="BR22" s="181" t="e">
        <f t="shared" si="27"/>
        <v>#REF!</v>
      </c>
      <c r="BS22" s="181" t="e">
        <f>IF(B22&lt;&gt;"",VLOOKUP(B22,'[9]IRR MES'!$C$5:$AK$600,34),"")</f>
        <v>#REF!</v>
      </c>
      <c r="BT22" s="248" t="e">
        <f>IF(B22&lt;&gt;"",VLOOKUP(B22,'[9]IRR MES'!$C$1:$AK$600,4),"")</f>
        <v>#REF!</v>
      </c>
      <c r="BU22" s="248" t="e">
        <f>IF(B22&lt;&gt;"",VLOOKUP(B22,'[9]IRR MES'!$C$1:$AK$600,7),"")</f>
        <v>#REF!</v>
      </c>
      <c r="BV22" s="248" t="e">
        <f>IF(B22&lt;&gt;"",VLOOKUP(B22,'[9]IRR MES'!$C$1:$AK$600,10),"")</f>
        <v>#REF!</v>
      </c>
      <c r="BW22" s="248" t="e">
        <f>IF(B22&lt;&gt;"",VLOOKUP(B22,'[9]IRR MES'!$C$1:$AK$600,13),"")</f>
        <v>#REF!</v>
      </c>
      <c r="BX22" s="248" t="e">
        <f>IF(B22&lt;&gt;"",VLOOKUP(B22,'[9]IRR MES'!$C$1:$AK$600,16),"")</f>
        <v>#REF!</v>
      </c>
      <c r="BY22" s="248" t="e">
        <f>IF(B22&lt;&gt;"",VLOOKUP(B22,'[9]IRR MES'!$C$1:$AK$600,19),"")</f>
        <v>#REF!</v>
      </c>
      <c r="BZ22" s="248" t="e">
        <f>IF(B22&lt;&gt;"",VLOOKUP(B22,'[9]IRR MES'!$C$1:$AK$600,22),"")</f>
        <v>#REF!</v>
      </c>
      <c r="CA22" s="248" t="e">
        <f>IF(B22&lt;&gt;"",VLOOKUP(B22,'[9]IRR MES'!$C$1:$AK$600,25),"")</f>
        <v>#REF!</v>
      </c>
      <c r="CB22" s="248" t="e">
        <f>IF(B22&lt;&gt;"",VLOOKUP(B22,'[9]IRR MES'!$C$1:$AK$600,28),"")</f>
        <v>#REF!</v>
      </c>
      <c r="CC22" s="248" t="e">
        <f>IF(B22&lt;&gt;"",VLOOKUP(B22,'[9]IRR MES'!$C$1:$AK$600,31),"")</f>
        <v>#REF!</v>
      </c>
      <c r="CD22" s="249" t="e">
        <f>#REF!</f>
        <v>#REF!</v>
      </c>
    </row>
    <row r="23" spans="1:82" x14ac:dyDescent="0.2">
      <c r="A23" s="10" t="e">
        <f t="shared" si="2"/>
        <v>#REF!</v>
      </c>
      <c r="B23" s="50" t="e">
        <f>#REF!</f>
        <v>#REF!</v>
      </c>
      <c r="C23" s="38">
        <f>'LEVANTAMENTO DADOS'!B21</f>
        <v>2891.92</v>
      </c>
      <c r="D23" s="63" t="e">
        <f>'BASE DE CALCULO IR'!W23</f>
        <v>#REF!</v>
      </c>
      <c r="E23" s="63"/>
      <c r="F23" s="60"/>
      <c r="G23" s="63"/>
      <c r="H23" s="63"/>
      <c r="I23" s="63"/>
      <c r="J23" s="63"/>
      <c r="K23" s="61"/>
      <c r="L23" s="61"/>
      <c r="M23" s="61"/>
      <c r="N23" s="60"/>
      <c r="O23" s="60"/>
      <c r="P23" s="60"/>
      <c r="Q23" s="62"/>
      <c r="R23" s="62" t="e">
        <f t="shared" si="3"/>
        <v>#REF!</v>
      </c>
      <c r="S23" s="63" t="e">
        <f t="shared" si="4"/>
        <v>#REF!</v>
      </c>
      <c r="T23" s="250"/>
      <c r="U23" s="63" t="e">
        <f t="shared" si="5"/>
        <v>#REF!</v>
      </c>
      <c r="V23" s="63" t="e">
        <f>#REF!</f>
        <v>#REF!</v>
      </c>
      <c r="W23" s="63" t="e">
        <f t="shared" si="6"/>
        <v>#REF!</v>
      </c>
      <c r="X23" s="242" t="e">
        <f t="shared" si="7"/>
        <v>#REF!</v>
      </c>
      <c r="Y23" s="34" t="e">
        <f t="shared" si="28"/>
        <v>#REF!</v>
      </c>
      <c r="Z23" s="34" t="e">
        <f t="shared" si="8"/>
        <v>#REF!</v>
      </c>
      <c r="AA23" s="176" t="e">
        <f t="shared" si="9"/>
        <v>#REF!</v>
      </c>
      <c r="AB23" s="11" t="e">
        <f t="shared" si="10"/>
        <v>#REF!</v>
      </c>
      <c r="AC23" s="245" t="e">
        <f t="shared" si="11"/>
        <v>#REF!</v>
      </c>
      <c r="AD23" s="245" t="e">
        <f t="shared" si="12"/>
        <v>#REF!</v>
      </c>
      <c r="AE23" s="245"/>
      <c r="AF23" s="245" t="e">
        <f t="shared" si="13"/>
        <v>#REF!</v>
      </c>
      <c r="AG23" s="173" t="e">
        <f t="shared" si="14"/>
        <v>#REF!</v>
      </c>
      <c r="AH23" s="51" t="e">
        <f t="shared" si="15"/>
        <v>#REF!</v>
      </c>
      <c r="AI23" s="63" t="e">
        <f>IF(B23&lt;&gt;"",VLOOKUP(B23,'[9]IRR MES'!$C$15:$AK$600,32),"")</f>
        <v>#REF!</v>
      </c>
      <c r="AJ23" s="246" t="e">
        <f t="shared" si="16"/>
        <v>#REF!</v>
      </c>
      <c r="AK23" s="181" t="e">
        <f t="shared" si="17"/>
        <v>#REF!</v>
      </c>
      <c r="AL23" s="181" t="e">
        <f t="shared" si="18"/>
        <v>#REF!</v>
      </c>
      <c r="AM23" s="181" t="e">
        <f t="shared" si="19"/>
        <v>#REF!</v>
      </c>
      <c r="AN23" s="181" t="e">
        <f t="shared" si="20"/>
        <v>#REF!</v>
      </c>
      <c r="AO23" s="181" t="e">
        <f t="shared" si="21"/>
        <v>#REF!</v>
      </c>
      <c r="AP23" s="181" t="e">
        <f t="shared" si="22"/>
        <v>#REF!</v>
      </c>
      <c r="AQ23" s="181" t="e">
        <f t="shared" si="23"/>
        <v>#REF!</v>
      </c>
      <c r="AR23" s="181" t="e">
        <f t="shared" si="24"/>
        <v>#REF!</v>
      </c>
      <c r="AS23" s="181" t="e">
        <f t="shared" si="25"/>
        <v>#REF!</v>
      </c>
      <c r="AT23" s="181" t="e">
        <f t="shared" si="26"/>
        <v>#REF!</v>
      </c>
      <c r="AU23" s="181"/>
      <c r="AV23" s="63"/>
      <c r="AW23" s="181" t="e">
        <f>IF(B23&lt;&gt;"",VLOOKUP(B23,'[9]IRR MES'!$C$5:$AK$600,2),"")</f>
        <v>#REF!</v>
      </c>
      <c r="AX23" s="247" t="e">
        <f>IF(B23&lt;&gt;"",VLOOKUP(B23,'[9]IRR MES'!$C$5:$AK$600,3),"")</f>
        <v>#REF!</v>
      </c>
      <c r="AY23" s="181" t="e">
        <f>IF(B23&lt;&gt;"",VLOOKUP(B23,'[9]IRR MES'!$C$5:$AK$600,5),"")</f>
        <v>#REF!</v>
      </c>
      <c r="AZ23" s="247" t="e">
        <f>IF(B23&lt;&gt;"",VLOOKUP(B23,'[9]IRR MES'!$C$5:$AK$600,6),"")</f>
        <v>#REF!</v>
      </c>
      <c r="BA23" s="181" t="e">
        <f>IF(B23&lt;&gt;"",VLOOKUP(B23,'[9]IRR MES'!$C$5:$AK$600,8),"")</f>
        <v>#REF!</v>
      </c>
      <c r="BB23" s="247" t="e">
        <f>IF(B23&lt;&gt;"",VLOOKUP(B23,'[9]IRR MES'!$C$5:$AK$600,9),"")</f>
        <v>#REF!</v>
      </c>
      <c r="BC23" s="247" t="e">
        <f>IF(B23&lt;&gt;"",VLOOKUP(B23,'[9]IRR MES'!$C$5:$AK$600,12),"")</f>
        <v>#REF!</v>
      </c>
      <c r="BD23" s="181" t="e">
        <f>IF(B23&lt;&gt;"",VLOOKUP(B23,'[9]IRR MES'!$C$5:$AK$600,14),"")</f>
        <v>#REF!</v>
      </c>
      <c r="BE23" s="247" t="e">
        <f>IF(B23&lt;&gt;"",VLOOKUP(B23,'[9]IRR MES'!$C$5:$AK$600,15),"")</f>
        <v>#REF!</v>
      </c>
      <c r="BF23" s="181" t="e">
        <f>IF(B23&lt;&gt;"",VLOOKUP(B23,'[9]IRR MES'!$C$5:$AK$600,17),"")</f>
        <v>#REF!</v>
      </c>
      <c r="BG23" s="247" t="e">
        <f>IF(B23&lt;&gt;"",VLOOKUP(B23,'[9]IRR MES'!$C$5:$AK$600,18),"")</f>
        <v>#REF!</v>
      </c>
      <c r="BH23" s="181" t="e">
        <f>IF(B23&lt;&gt;"",VLOOKUP(B23,'[9]IRR MES'!$C$5:$AK$600,20),"")</f>
        <v>#REF!</v>
      </c>
      <c r="BI23" s="247" t="e">
        <f>IF(B23&lt;&gt;"",VLOOKUP(B23,'[9]IRR MES'!$C$5:$AK$600,21),"")</f>
        <v>#REF!</v>
      </c>
      <c r="BJ23" s="181" t="e">
        <f>IF(B23&lt;&gt;"",VLOOKUP(B23,'[9]IRR MES'!$C$5:$AK$600,23),"")</f>
        <v>#REF!</v>
      </c>
      <c r="BK23" s="247" t="e">
        <f>IF(B23&lt;&gt;"",VLOOKUP(B23,'[9]IRR MES'!$C$5:$AK$600,24),"")</f>
        <v>#REF!</v>
      </c>
      <c r="BL23" s="181" t="e">
        <f>IF(B23&lt;&gt;"",VLOOKUP(B23,'[9]IRR MES'!$C$5:$AK$600,26),"")</f>
        <v>#REF!</v>
      </c>
      <c r="BM23" s="247" t="e">
        <f>IF(B23&lt;&gt;"",VLOOKUP(B23,'[9]IRR MES'!$C$5:$AK$600,27),"")</f>
        <v>#REF!</v>
      </c>
      <c r="BN23" s="181" t="e">
        <f>IF(B23&lt;&gt;"",VLOOKUP(B23,'[9]IRR MES'!$C$5:$AK$600,29),"")</f>
        <v>#REF!</v>
      </c>
      <c r="BO23" s="247" t="e">
        <f>IF(B23&lt;&gt;"",VLOOKUP(B23,'[9]IRR MES'!$C$5:$AK$600,30),"")</f>
        <v>#REF!</v>
      </c>
      <c r="BP23" s="181" t="e">
        <f>IF(B23&lt;&gt;"",VLOOKUP(B23,'[9]IRR MES'!$C$5:$AK$600,32),"")</f>
        <v>#REF!</v>
      </c>
      <c r="BQ23" s="181" t="e">
        <f>IF(B23&lt;&gt;"",VLOOKUP(B23,'[9]IRR MES'!$C$5:$AK$600,33),"")</f>
        <v>#REF!</v>
      </c>
      <c r="BR23" s="181" t="e">
        <f t="shared" si="27"/>
        <v>#REF!</v>
      </c>
      <c r="BS23" s="181" t="e">
        <f>IF(B23&lt;&gt;"",VLOOKUP(B23,'[9]IRR MES'!$C$5:$AK$600,34),"")</f>
        <v>#REF!</v>
      </c>
      <c r="BT23" s="248" t="e">
        <f>IF(B23&lt;&gt;"",VLOOKUP(B23,'[9]IRR MES'!$C$1:$AK$600,4),"")</f>
        <v>#REF!</v>
      </c>
      <c r="BU23" s="248" t="e">
        <f>IF(B23&lt;&gt;"",VLOOKUP(B23,'[9]IRR MES'!$C$1:$AK$600,7),"")</f>
        <v>#REF!</v>
      </c>
      <c r="BV23" s="248" t="e">
        <f>IF(B23&lt;&gt;"",VLOOKUP(B23,'[9]IRR MES'!$C$1:$AK$600,10),"")</f>
        <v>#REF!</v>
      </c>
      <c r="BW23" s="248" t="e">
        <f>IF(B23&lt;&gt;"",VLOOKUP(B23,'[9]IRR MES'!$C$1:$AK$600,13),"")</f>
        <v>#REF!</v>
      </c>
      <c r="BX23" s="248" t="e">
        <f>IF(B23&lt;&gt;"",VLOOKUP(B23,'[9]IRR MES'!$C$1:$AK$600,16),"")</f>
        <v>#REF!</v>
      </c>
      <c r="BY23" s="248" t="e">
        <f>IF(B23&lt;&gt;"",VLOOKUP(B23,'[9]IRR MES'!$C$1:$AK$600,19),"")</f>
        <v>#REF!</v>
      </c>
      <c r="BZ23" s="248" t="e">
        <f>IF(B23&lt;&gt;"",VLOOKUP(B23,'[9]IRR MES'!$C$1:$AK$600,22),"")</f>
        <v>#REF!</v>
      </c>
      <c r="CA23" s="248" t="e">
        <f>IF(B23&lt;&gt;"",VLOOKUP(B23,'[9]IRR MES'!$C$1:$AK$600,25),"")</f>
        <v>#REF!</v>
      </c>
      <c r="CB23" s="248" t="e">
        <f>IF(B23&lt;&gt;"",VLOOKUP(B23,'[9]IRR MES'!$C$1:$AK$600,28),"")</f>
        <v>#REF!</v>
      </c>
      <c r="CC23" s="248" t="e">
        <f>IF(B23&lt;&gt;"",VLOOKUP(B23,'[9]IRR MES'!$C$1:$AK$600,31),"")</f>
        <v>#REF!</v>
      </c>
      <c r="CD23" s="249" t="e">
        <f>#REF!</f>
        <v>#REF!</v>
      </c>
    </row>
    <row r="24" spans="1:82" x14ac:dyDescent="0.2">
      <c r="A24" s="10" t="e">
        <f t="shared" si="2"/>
        <v>#REF!</v>
      </c>
      <c r="B24" s="50" t="e">
        <f>#REF!</f>
        <v>#REF!</v>
      </c>
      <c r="C24" s="38">
        <f>'LEVANTAMENTO DADOS'!B22</f>
        <v>3871.15</v>
      </c>
      <c r="D24" s="63" t="e">
        <f>'BASE DE CALCULO IR'!W24</f>
        <v>#REF!</v>
      </c>
      <c r="E24" s="63"/>
      <c r="F24" s="60"/>
      <c r="G24" s="63"/>
      <c r="H24" s="63"/>
      <c r="I24" s="63"/>
      <c r="J24" s="63"/>
      <c r="K24" s="61"/>
      <c r="L24" s="61"/>
      <c r="M24" s="61"/>
      <c r="N24" s="60"/>
      <c r="O24" s="60"/>
      <c r="P24" s="60"/>
      <c r="Q24" s="62"/>
      <c r="R24" s="62" t="e">
        <f t="shared" si="3"/>
        <v>#REF!</v>
      </c>
      <c r="S24" s="63" t="e">
        <f t="shared" si="4"/>
        <v>#REF!</v>
      </c>
      <c r="T24" s="250"/>
      <c r="U24" s="63" t="e">
        <f t="shared" si="5"/>
        <v>#REF!</v>
      </c>
      <c r="V24" s="63" t="e">
        <f>#REF!</f>
        <v>#REF!</v>
      </c>
      <c r="W24" s="63" t="e">
        <f t="shared" si="6"/>
        <v>#REF!</v>
      </c>
      <c r="X24" s="242" t="e">
        <f t="shared" si="7"/>
        <v>#REF!</v>
      </c>
      <c r="Y24" s="34" t="e">
        <f t="shared" si="28"/>
        <v>#REF!</v>
      </c>
      <c r="Z24" s="34" t="e">
        <f t="shared" si="8"/>
        <v>#REF!</v>
      </c>
      <c r="AA24" s="176" t="e">
        <f t="shared" si="9"/>
        <v>#REF!</v>
      </c>
      <c r="AB24" s="11" t="e">
        <f t="shared" si="10"/>
        <v>#REF!</v>
      </c>
      <c r="AC24" s="245" t="e">
        <f t="shared" si="11"/>
        <v>#REF!</v>
      </c>
      <c r="AD24" s="245" t="e">
        <f t="shared" si="12"/>
        <v>#REF!</v>
      </c>
      <c r="AE24" s="245"/>
      <c r="AF24" s="245" t="e">
        <f t="shared" si="13"/>
        <v>#REF!</v>
      </c>
      <c r="AG24" s="173" t="e">
        <f t="shared" si="14"/>
        <v>#REF!</v>
      </c>
      <c r="AH24" s="51" t="e">
        <f t="shared" si="15"/>
        <v>#REF!</v>
      </c>
      <c r="AI24" s="63" t="e">
        <f>IF(B24&lt;&gt;"",VLOOKUP(B24,'[9]IRR MES'!$C$15:$AK$600,32),"")</f>
        <v>#REF!</v>
      </c>
      <c r="AJ24" s="246" t="e">
        <f t="shared" si="16"/>
        <v>#REF!</v>
      </c>
      <c r="AK24" s="181" t="e">
        <f t="shared" si="17"/>
        <v>#REF!</v>
      </c>
      <c r="AL24" s="181" t="e">
        <f t="shared" si="18"/>
        <v>#REF!</v>
      </c>
      <c r="AM24" s="181" t="e">
        <f t="shared" si="19"/>
        <v>#REF!</v>
      </c>
      <c r="AN24" s="181" t="e">
        <f t="shared" si="20"/>
        <v>#REF!</v>
      </c>
      <c r="AO24" s="181" t="e">
        <f t="shared" si="21"/>
        <v>#REF!</v>
      </c>
      <c r="AP24" s="181" t="e">
        <f t="shared" si="22"/>
        <v>#REF!</v>
      </c>
      <c r="AQ24" s="181" t="e">
        <f t="shared" si="23"/>
        <v>#REF!</v>
      </c>
      <c r="AR24" s="181" t="e">
        <f t="shared" si="24"/>
        <v>#REF!</v>
      </c>
      <c r="AS24" s="181" t="e">
        <f t="shared" si="25"/>
        <v>#REF!</v>
      </c>
      <c r="AT24" s="181" t="e">
        <f t="shared" si="26"/>
        <v>#REF!</v>
      </c>
      <c r="AU24" s="181"/>
      <c r="AV24" s="63"/>
      <c r="AW24" s="181" t="e">
        <f>IF(B24&lt;&gt;"",VLOOKUP(B24,'[9]IRR MES'!$C$5:$AK$600,2),"")</f>
        <v>#REF!</v>
      </c>
      <c r="AX24" s="247" t="e">
        <f>IF(B24&lt;&gt;"",VLOOKUP(B24,'[9]IRR MES'!$C$5:$AK$600,3),"")</f>
        <v>#REF!</v>
      </c>
      <c r="AY24" s="181" t="e">
        <f>IF(B24&lt;&gt;"",VLOOKUP(B24,'[9]IRR MES'!$C$5:$AK$600,5),"")</f>
        <v>#REF!</v>
      </c>
      <c r="AZ24" s="247" t="e">
        <f>IF(B24&lt;&gt;"",VLOOKUP(B24,'[9]IRR MES'!$C$5:$AK$600,6),"")</f>
        <v>#REF!</v>
      </c>
      <c r="BA24" s="181" t="e">
        <f>IF(B24&lt;&gt;"",VLOOKUP(B24,'[9]IRR MES'!$C$5:$AK$600,8),"")</f>
        <v>#REF!</v>
      </c>
      <c r="BB24" s="247" t="e">
        <f>IF(B24&lt;&gt;"",VLOOKUP(B24,'[9]IRR MES'!$C$5:$AK$600,9),"")</f>
        <v>#REF!</v>
      </c>
      <c r="BC24" s="247" t="e">
        <f>IF(B24&lt;&gt;"",VLOOKUP(B24,'[9]IRR MES'!$C$5:$AK$600,12),"")</f>
        <v>#REF!</v>
      </c>
      <c r="BD24" s="181" t="e">
        <f>IF(B24&lt;&gt;"",VLOOKUP(B24,'[9]IRR MES'!$C$5:$AK$600,14),"")</f>
        <v>#REF!</v>
      </c>
      <c r="BE24" s="247" t="e">
        <f>IF(B24&lt;&gt;"",VLOOKUP(B24,'[9]IRR MES'!$C$5:$AK$600,15),"")</f>
        <v>#REF!</v>
      </c>
      <c r="BF24" s="181" t="e">
        <f>IF(B24&lt;&gt;"",VLOOKUP(B24,'[9]IRR MES'!$C$5:$AK$600,17),"")</f>
        <v>#REF!</v>
      </c>
      <c r="BG24" s="247" t="e">
        <f>IF(B24&lt;&gt;"",VLOOKUP(B24,'[9]IRR MES'!$C$5:$AK$600,18),"")</f>
        <v>#REF!</v>
      </c>
      <c r="BH24" s="181" t="e">
        <f>IF(B24&lt;&gt;"",VLOOKUP(B24,'[9]IRR MES'!$C$5:$AK$600,20),"")</f>
        <v>#REF!</v>
      </c>
      <c r="BI24" s="247" t="e">
        <f>IF(B24&lt;&gt;"",VLOOKUP(B24,'[9]IRR MES'!$C$5:$AK$600,21),"")</f>
        <v>#REF!</v>
      </c>
      <c r="BJ24" s="181" t="e">
        <f>IF(B24&lt;&gt;"",VLOOKUP(B24,'[9]IRR MES'!$C$5:$AK$600,23),"")</f>
        <v>#REF!</v>
      </c>
      <c r="BK24" s="247" t="e">
        <f>IF(B24&lt;&gt;"",VLOOKUP(B24,'[9]IRR MES'!$C$5:$AK$600,24),"")</f>
        <v>#REF!</v>
      </c>
      <c r="BL24" s="181" t="e">
        <f>IF(B24&lt;&gt;"",VLOOKUP(B24,'[9]IRR MES'!$C$5:$AK$600,26),"")</f>
        <v>#REF!</v>
      </c>
      <c r="BM24" s="247" t="e">
        <f>IF(B24&lt;&gt;"",VLOOKUP(B24,'[9]IRR MES'!$C$5:$AK$600,27),"")</f>
        <v>#REF!</v>
      </c>
      <c r="BN24" s="181" t="e">
        <f>IF(B24&lt;&gt;"",VLOOKUP(B24,'[9]IRR MES'!$C$5:$AK$600,29),"")</f>
        <v>#REF!</v>
      </c>
      <c r="BO24" s="247" t="e">
        <f>IF(B24&lt;&gt;"",VLOOKUP(B24,'[9]IRR MES'!$C$5:$AK$600,30),"")</f>
        <v>#REF!</v>
      </c>
      <c r="BP24" s="181" t="e">
        <f>IF(B24&lt;&gt;"",VLOOKUP(B24,'[9]IRR MES'!$C$5:$AK$600,32),"")</f>
        <v>#REF!</v>
      </c>
      <c r="BQ24" s="181" t="e">
        <f>IF(B24&lt;&gt;"",VLOOKUP(B24,'[9]IRR MES'!$C$5:$AK$600,33),"")</f>
        <v>#REF!</v>
      </c>
      <c r="BR24" s="181" t="e">
        <f t="shared" si="27"/>
        <v>#REF!</v>
      </c>
      <c r="BS24" s="181" t="e">
        <f>IF(B24&lt;&gt;"",VLOOKUP(B24,'[9]IRR MES'!$C$5:$AK$600,34),"")</f>
        <v>#REF!</v>
      </c>
      <c r="BT24" s="248" t="e">
        <f>IF(B24&lt;&gt;"",VLOOKUP(B24,'[9]IRR MES'!$C$1:$AK$600,4),"")</f>
        <v>#REF!</v>
      </c>
      <c r="BU24" s="248" t="e">
        <f>IF(B24&lt;&gt;"",VLOOKUP(B24,'[9]IRR MES'!$C$1:$AK$600,7),"")</f>
        <v>#REF!</v>
      </c>
      <c r="BV24" s="248" t="e">
        <f>IF(B24&lt;&gt;"",VLOOKUP(B24,'[9]IRR MES'!$C$1:$AK$600,10),"")</f>
        <v>#REF!</v>
      </c>
      <c r="BW24" s="248" t="e">
        <f>IF(B24&lt;&gt;"",VLOOKUP(B24,'[9]IRR MES'!$C$1:$AK$600,13),"")</f>
        <v>#REF!</v>
      </c>
      <c r="BX24" s="248" t="e">
        <f>IF(B24&lt;&gt;"",VLOOKUP(B24,'[9]IRR MES'!$C$1:$AK$600,16),"")</f>
        <v>#REF!</v>
      </c>
      <c r="BY24" s="248" t="e">
        <f>IF(B24&lt;&gt;"",VLOOKUP(B24,'[9]IRR MES'!$C$1:$AK$600,19),"")</f>
        <v>#REF!</v>
      </c>
      <c r="BZ24" s="248" t="e">
        <f>IF(B24&lt;&gt;"",VLOOKUP(B24,'[9]IRR MES'!$C$1:$AK$600,22),"")</f>
        <v>#REF!</v>
      </c>
      <c r="CA24" s="248" t="e">
        <f>IF(B24&lt;&gt;"",VLOOKUP(B24,'[9]IRR MES'!$C$1:$AK$600,25),"")</f>
        <v>#REF!</v>
      </c>
      <c r="CB24" s="248" t="e">
        <f>IF(B24&lt;&gt;"",VLOOKUP(B24,'[9]IRR MES'!$C$1:$AK$600,28),"")</f>
        <v>#REF!</v>
      </c>
      <c r="CC24" s="248" t="e">
        <f>IF(B24&lt;&gt;"",VLOOKUP(B24,'[9]IRR MES'!$C$1:$AK$600,31),"")</f>
        <v>#REF!</v>
      </c>
      <c r="CD24" s="249" t="e">
        <f>#REF!</f>
        <v>#REF!</v>
      </c>
    </row>
    <row r="25" spans="1:82" x14ac:dyDescent="0.2">
      <c r="A25" s="10" t="e">
        <f t="shared" si="2"/>
        <v>#REF!</v>
      </c>
      <c r="B25" s="50" t="e">
        <f>#REF!</f>
        <v>#REF!</v>
      </c>
      <c r="C25" s="38">
        <f>'LEVANTAMENTO DADOS'!B23</f>
        <v>3713.01</v>
      </c>
      <c r="D25" s="63" t="e">
        <f>'BASE DE CALCULO IR'!W25</f>
        <v>#REF!</v>
      </c>
      <c r="E25" s="63"/>
      <c r="F25" s="60"/>
      <c r="G25" s="63"/>
      <c r="H25" s="63"/>
      <c r="I25" s="63"/>
      <c r="J25" s="63"/>
      <c r="K25" s="61"/>
      <c r="L25" s="61"/>
      <c r="M25" s="61"/>
      <c r="N25" s="60"/>
      <c r="O25" s="60"/>
      <c r="P25" s="60"/>
      <c r="Q25" s="62"/>
      <c r="R25" s="62" t="e">
        <f t="shared" si="3"/>
        <v>#REF!</v>
      </c>
      <c r="S25" s="63" t="e">
        <f t="shared" si="4"/>
        <v>#REF!</v>
      </c>
      <c r="T25" s="250"/>
      <c r="U25" s="63" t="e">
        <f t="shared" si="5"/>
        <v>#REF!</v>
      </c>
      <c r="V25" s="63" t="e">
        <f>#REF!</f>
        <v>#REF!</v>
      </c>
      <c r="W25" s="63" t="e">
        <f t="shared" si="6"/>
        <v>#REF!</v>
      </c>
      <c r="X25" s="242" t="e">
        <f t="shared" si="7"/>
        <v>#REF!</v>
      </c>
      <c r="Y25" s="34" t="e">
        <f t="shared" si="28"/>
        <v>#REF!</v>
      </c>
      <c r="Z25" s="34" t="e">
        <f t="shared" si="8"/>
        <v>#REF!</v>
      </c>
      <c r="AA25" s="176" t="e">
        <f t="shared" si="9"/>
        <v>#REF!</v>
      </c>
      <c r="AB25" s="11" t="e">
        <f t="shared" si="10"/>
        <v>#REF!</v>
      </c>
      <c r="AC25" s="245" t="e">
        <f t="shared" si="11"/>
        <v>#REF!</v>
      </c>
      <c r="AD25" s="245" t="e">
        <f t="shared" si="12"/>
        <v>#REF!</v>
      </c>
      <c r="AE25" s="245"/>
      <c r="AF25" s="245" t="e">
        <f t="shared" si="13"/>
        <v>#REF!</v>
      </c>
      <c r="AG25" s="173" t="e">
        <f t="shared" si="14"/>
        <v>#REF!</v>
      </c>
      <c r="AH25" s="51" t="e">
        <f t="shared" si="15"/>
        <v>#REF!</v>
      </c>
      <c r="AI25" s="63" t="e">
        <f>IF(B25&lt;&gt;"",VLOOKUP(B25,'[9]IRR MES'!$C$15:$AK$600,32),"")</f>
        <v>#REF!</v>
      </c>
      <c r="AJ25" s="246" t="e">
        <f t="shared" si="16"/>
        <v>#REF!</v>
      </c>
      <c r="AK25" s="181" t="e">
        <f t="shared" si="17"/>
        <v>#REF!</v>
      </c>
      <c r="AL25" s="181" t="e">
        <f t="shared" si="18"/>
        <v>#REF!</v>
      </c>
      <c r="AM25" s="181" t="e">
        <f t="shared" si="19"/>
        <v>#REF!</v>
      </c>
      <c r="AN25" s="181" t="e">
        <f t="shared" si="20"/>
        <v>#REF!</v>
      </c>
      <c r="AO25" s="181" t="e">
        <f t="shared" si="21"/>
        <v>#REF!</v>
      </c>
      <c r="AP25" s="181" t="e">
        <f t="shared" si="22"/>
        <v>#REF!</v>
      </c>
      <c r="AQ25" s="181" t="e">
        <f t="shared" si="23"/>
        <v>#REF!</v>
      </c>
      <c r="AR25" s="181" t="e">
        <f t="shared" si="24"/>
        <v>#REF!</v>
      </c>
      <c r="AS25" s="181" t="e">
        <f t="shared" si="25"/>
        <v>#REF!</v>
      </c>
      <c r="AT25" s="181" t="e">
        <f t="shared" si="26"/>
        <v>#REF!</v>
      </c>
      <c r="AU25" s="181"/>
      <c r="AV25" s="63"/>
      <c r="AW25" s="181" t="e">
        <f>IF(B25&lt;&gt;"",VLOOKUP(B25,'[9]IRR MES'!$C$5:$AK$600,2),"")</f>
        <v>#REF!</v>
      </c>
      <c r="AX25" s="247" t="e">
        <f>IF(B25&lt;&gt;"",VLOOKUP(B25,'[9]IRR MES'!$C$5:$AK$600,3),"")</f>
        <v>#REF!</v>
      </c>
      <c r="AY25" s="181" t="e">
        <f>IF(B25&lt;&gt;"",VLOOKUP(B25,'[9]IRR MES'!$C$5:$AK$600,5),"")</f>
        <v>#REF!</v>
      </c>
      <c r="AZ25" s="247" t="e">
        <f>IF(B25&lt;&gt;"",VLOOKUP(B25,'[9]IRR MES'!$C$5:$AK$600,6),"")</f>
        <v>#REF!</v>
      </c>
      <c r="BA25" s="181" t="e">
        <f>IF(B25&lt;&gt;"",VLOOKUP(B25,'[9]IRR MES'!$C$5:$AK$600,8),"")</f>
        <v>#REF!</v>
      </c>
      <c r="BB25" s="247" t="e">
        <f>IF(B25&lt;&gt;"",VLOOKUP(B25,'[9]IRR MES'!$C$5:$AK$600,9),"")</f>
        <v>#REF!</v>
      </c>
      <c r="BC25" s="247" t="e">
        <f>IF(B25&lt;&gt;"",VLOOKUP(B25,'[9]IRR MES'!$C$5:$AK$600,12),"")</f>
        <v>#REF!</v>
      </c>
      <c r="BD25" s="181" t="e">
        <f>IF(B25&lt;&gt;"",VLOOKUP(B25,'[9]IRR MES'!$C$5:$AK$600,14),"")</f>
        <v>#REF!</v>
      </c>
      <c r="BE25" s="247" t="e">
        <f>IF(B25&lt;&gt;"",VLOOKUP(B25,'[9]IRR MES'!$C$5:$AK$600,15),"")</f>
        <v>#REF!</v>
      </c>
      <c r="BF25" s="181" t="e">
        <f>IF(B25&lt;&gt;"",VLOOKUP(B25,'[9]IRR MES'!$C$5:$AK$600,17),"")</f>
        <v>#REF!</v>
      </c>
      <c r="BG25" s="247" t="e">
        <f>IF(B25&lt;&gt;"",VLOOKUP(B25,'[9]IRR MES'!$C$5:$AK$600,18),"")</f>
        <v>#REF!</v>
      </c>
      <c r="BH25" s="181" t="e">
        <f>IF(B25&lt;&gt;"",VLOOKUP(B25,'[9]IRR MES'!$C$5:$AK$600,20),"")</f>
        <v>#REF!</v>
      </c>
      <c r="BI25" s="247" t="e">
        <f>IF(B25&lt;&gt;"",VLOOKUP(B25,'[9]IRR MES'!$C$5:$AK$600,21),"")</f>
        <v>#REF!</v>
      </c>
      <c r="BJ25" s="181" t="e">
        <f>IF(B25&lt;&gt;"",VLOOKUP(B25,'[9]IRR MES'!$C$5:$AK$600,23),"")</f>
        <v>#REF!</v>
      </c>
      <c r="BK25" s="247" t="e">
        <f>IF(B25&lt;&gt;"",VLOOKUP(B25,'[9]IRR MES'!$C$5:$AK$600,24),"")</f>
        <v>#REF!</v>
      </c>
      <c r="BL25" s="181" t="e">
        <f>IF(B25&lt;&gt;"",VLOOKUP(B25,'[9]IRR MES'!$C$5:$AK$600,26),"")</f>
        <v>#REF!</v>
      </c>
      <c r="BM25" s="247" t="e">
        <f>IF(B25&lt;&gt;"",VLOOKUP(B25,'[9]IRR MES'!$C$5:$AK$600,27),"")</f>
        <v>#REF!</v>
      </c>
      <c r="BN25" s="181" t="e">
        <f>IF(B25&lt;&gt;"",VLOOKUP(B25,'[9]IRR MES'!$C$5:$AK$600,29),"")</f>
        <v>#REF!</v>
      </c>
      <c r="BO25" s="247" t="e">
        <f>IF(B25&lt;&gt;"",VLOOKUP(B25,'[9]IRR MES'!$C$5:$AK$600,30),"")</f>
        <v>#REF!</v>
      </c>
      <c r="BP25" s="181" t="e">
        <f>IF(B25&lt;&gt;"",VLOOKUP(B25,'[9]IRR MES'!$C$5:$AK$600,32),"")</f>
        <v>#REF!</v>
      </c>
      <c r="BQ25" s="181" t="e">
        <f>IF(B25&lt;&gt;"",VLOOKUP(B25,'[9]IRR MES'!$C$5:$AK$600,33),"")</f>
        <v>#REF!</v>
      </c>
      <c r="BR25" s="181" t="e">
        <f t="shared" si="27"/>
        <v>#REF!</v>
      </c>
      <c r="BS25" s="181" t="e">
        <f>IF(B25&lt;&gt;"",VLOOKUP(B25,'[9]IRR MES'!$C$5:$AK$600,34),"")</f>
        <v>#REF!</v>
      </c>
      <c r="BT25" s="248" t="e">
        <f>IF(B25&lt;&gt;"",VLOOKUP(B25,'[9]IRR MES'!$C$1:$AK$600,4),"")</f>
        <v>#REF!</v>
      </c>
      <c r="BU25" s="248" t="e">
        <f>IF(B25&lt;&gt;"",VLOOKUP(B25,'[9]IRR MES'!$C$1:$AK$600,7),"")</f>
        <v>#REF!</v>
      </c>
      <c r="BV25" s="248" t="e">
        <f>IF(B25&lt;&gt;"",VLOOKUP(B25,'[9]IRR MES'!$C$1:$AK$600,10),"")</f>
        <v>#REF!</v>
      </c>
      <c r="BW25" s="248" t="e">
        <f>IF(B25&lt;&gt;"",VLOOKUP(B25,'[9]IRR MES'!$C$1:$AK$600,13),"")</f>
        <v>#REF!</v>
      </c>
      <c r="BX25" s="248" t="e">
        <f>IF(B25&lt;&gt;"",VLOOKUP(B25,'[9]IRR MES'!$C$1:$AK$600,16),"")</f>
        <v>#REF!</v>
      </c>
      <c r="BY25" s="248" t="e">
        <f>IF(B25&lt;&gt;"",VLOOKUP(B25,'[9]IRR MES'!$C$1:$AK$600,19),"")</f>
        <v>#REF!</v>
      </c>
      <c r="BZ25" s="248" t="e">
        <f>IF(B25&lt;&gt;"",VLOOKUP(B25,'[9]IRR MES'!$C$1:$AK$600,22),"")</f>
        <v>#REF!</v>
      </c>
      <c r="CA25" s="248" t="e">
        <f>IF(B25&lt;&gt;"",VLOOKUP(B25,'[9]IRR MES'!$C$1:$AK$600,25),"")</f>
        <v>#REF!</v>
      </c>
      <c r="CB25" s="248" t="e">
        <f>IF(B25&lt;&gt;"",VLOOKUP(B25,'[9]IRR MES'!$C$1:$AK$600,28),"")</f>
        <v>#REF!</v>
      </c>
      <c r="CC25" s="248" t="e">
        <f>IF(B25&lt;&gt;"",VLOOKUP(B25,'[9]IRR MES'!$C$1:$AK$600,31),"")</f>
        <v>#REF!</v>
      </c>
      <c r="CD25" s="249" t="e">
        <f>#REF!</f>
        <v>#REF!</v>
      </c>
    </row>
    <row r="26" spans="1:82" x14ac:dyDescent="0.2">
      <c r="A26" s="10" t="e">
        <f t="shared" si="2"/>
        <v>#REF!</v>
      </c>
      <c r="B26" s="50" t="e">
        <f>#REF!</f>
        <v>#REF!</v>
      </c>
      <c r="C26" s="38">
        <f>'LEVANTAMENTO DADOS'!B24</f>
        <v>3568.22</v>
      </c>
      <c r="D26" s="63" t="e">
        <f>'BASE DE CALCULO IR'!W26</f>
        <v>#REF!</v>
      </c>
      <c r="E26" s="63"/>
      <c r="F26" s="60"/>
      <c r="G26" s="63"/>
      <c r="H26" s="63"/>
      <c r="I26" s="63"/>
      <c r="J26" s="63"/>
      <c r="K26" s="61"/>
      <c r="L26" s="61"/>
      <c r="M26" s="61"/>
      <c r="N26" s="60"/>
      <c r="O26" s="60"/>
      <c r="P26" s="60"/>
      <c r="Q26" s="62"/>
      <c r="R26" s="62" t="e">
        <f t="shared" si="3"/>
        <v>#REF!</v>
      </c>
      <c r="S26" s="63" t="e">
        <f t="shared" si="4"/>
        <v>#REF!</v>
      </c>
      <c r="T26" s="250"/>
      <c r="U26" s="63" t="e">
        <f t="shared" si="5"/>
        <v>#REF!</v>
      </c>
      <c r="V26" s="63" t="e">
        <f>#REF!</f>
        <v>#REF!</v>
      </c>
      <c r="W26" s="63" t="e">
        <f t="shared" si="6"/>
        <v>#REF!</v>
      </c>
      <c r="X26" s="242" t="e">
        <f t="shared" si="7"/>
        <v>#REF!</v>
      </c>
      <c r="Y26" s="34" t="e">
        <f t="shared" si="28"/>
        <v>#REF!</v>
      </c>
      <c r="Z26" s="34" t="e">
        <f t="shared" si="8"/>
        <v>#REF!</v>
      </c>
      <c r="AA26" s="176" t="e">
        <f t="shared" si="9"/>
        <v>#REF!</v>
      </c>
      <c r="AB26" s="11" t="e">
        <f t="shared" si="10"/>
        <v>#REF!</v>
      </c>
      <c r="AC26" s="245" t="e">
        <f t="shared" si="11"/>
        <v>#REF!</v>
      </c>
      <c r="AD26" s="245" t="e">
        <f t="shared" si="12"/>
        <v>#REF!</v>
      </c>
      <c r="AE26" s="245"/>
      <c r="AF26" s="245" t="e">
        <f t="shared" si="13"/>
        <v>#REF!</v>
      </c>
      <c r="AG26" s="173" t="e">
        <f t="shared" si="14"/>
        <v>#REF!</v>
      </c>
      <c r="AH26" s="51" t="e">
        <f t="shared" si="15"/>
        <v>#REF!</v>
      </c>
      <c r="AI26" s="63" t="e">
        <f>IF(B26&lt;&gt;"",VLOOKUP(B26,'[9]IRR MES'!$C$15:$AK$600,32),"")</f>
        <v>#REF!</v>
      </c>
      <c r="AJ26" s="246" t="e">
        <f t="shared" si="16"/>
        <v>#REF!</v>
      </c>
      <c r="AK26" s="181" t="e">
        <f t="shared" si="17"/>
        <v>#REF!</v>
      </c>
      <c r="AL26" s="181" t="e">
        <f t="shared" si="18"/>
        <v>#REF!</v>
      </c>
      <c r="AM26" s="181" t="e">
        <f t="shared" si="19"/>
        <v>#REF!</v>
      </c>
      <c r="AN26" s="181" t="e">
        <f t="shared" si="20"/>
        <v>#REF!</v>
      </c>
      <c r="AO26" s="181" t="e">
        <f t="shared" si="21"/>
        <v>#REF!</v>
      </c>
      <c r="AP26" s="181" t="e">
        <f t="shared" si="22"/>
        <v>#REF!</v>
      </c>
      <c r="AQ26" s="181" t="e">
        <f t="shared" si="23"/>
        <v>#REF!</v>
      </c>
      <c r="AR26" s="181" t="e">
        <f t="shared" si="24"/>
        <v>#REF!</v>
      </c>
      <c r="AS26" s="181" t="e">
        <f t="shared" si="25"/>
        <v>#REF!</v>
      </c>
      <c r="AT26" s="181" t="e">
        <f t="shared" si="26"/>
        <v>#REF!</v>
      </c>
      <c r="AU26" s="181"/>
      <c r="AV26" s="63"/>
      <c r="AW26" s="181" t="e">
        <f>IF(B26&lt;&gt;"",VLOOKUP(B26,'[9]IRR MES'!$C$5:$AK$600,2),"")</f>
        <v>#REF!</v>
      </c>
      <c r="AX26" s="247" t="e">
        <f>IF(B26&lt;&gt;"",VLOOKUP(B26,'[9]IRR MES'!$C$5:$AK$600,3),"")</f>
        <v>#REF!</v>
      </c>
      <c r="AY26" s="181" t="e">
        <f>IF(B26&lt;&gt;"",VLOOKUP(B26,'[9]IRR MES'!$C$5:$AK$600,5),"")</f>
        <v>#REF!</v>
      </c>
      <c r="AZ26" s="247" t="e">
        <f>IF(B26&lt;&gt;"",VLOOKUP(B26,'[9]IRR MES'!$C$5:$AK$600,6),"")</f>
        <v>#REF!</v>
      </c>
      <c r="BA26" s="181" t="e">
        <f>IF(B26&lt;&gt;"",VLOOKUP(B26,'[9]IRR MES'!$C$5:$AK$600,8),"")</f>
        <v>#REF!</v>
      </c>
      <c r="BB26" s="247" t="e">
        <f>IF(B26&lt;&gt;"",VLOOKUP(B26,'[9]IRR MES'!$C$5:$AK$600,9),"")</f>
        <v>#REF!</v>
      </c>
      <c r="BC26" s="247" t="e">
        <f>IF(B26&lt;&gt;"",VLOOKUP(B26,'[9]IRR MES'!$C$5:$AK$600,12),"")</f>
        <v>#REF!</v>
      </c>
      <c r="BD26" s="181" t="e">
        <f>IF(B26&lt;&gt;"",VLOOKUP(B26,'[9]IRR MES'!$C$5:$AK$600,14),"")</f>
        <v>#REF!</v>
      </c>
      <c r="BE26" s="247" t="e">
        <f>IF(B26&lt;&gt;"",VLOOKUP(B26,'[9]IRR MES'!$C$5:$AK$600,15),"")</f>
        <v>#REF!</v>
      </c>
      <c r="BF26" s="181" t="e">
        <f>IF(B26&lt;&gt;"",VLOOKUP(B26,'[9]IRR MES'!$C$5:$AK$600,17),"")</f>
        <v>#REF!</v>
      </c>
      <c r="BG26" s="247" t="e">
        <f>IF(B26&lt;&gt;"",VLOOKUP(B26,'[9]IRR MES'!$C$5:$AK$600,18),"")</f>
        <v>#REF!</v>
      </c>
      <c r="BH26" s="181" t="e">
        <f>IF(B26&lt;&gt;"",VLOOKUP(B26,'[9]IRR MES'!$C$5:$AK$600,20),"")</f>
        <v>#REF!</v>
      </c>
      <c r="BI26" s="247" t="e">
        <f>IF(B26&lt;&gt;"",VLOOKUP(B26,'[9]IRR MES'!$C$5:$AK$600,21),"")</f>
        <v>#REF!</v>
      </c>
      <c r="BJ26" s="181" t="e">
        <f>IF(B26&lt;&gt;"",VLOOKUP(B26,'[9]IRR MES'!$C$5:$AK$600,23),"")</f>
        <v>#REF!</v>
      </c>
      <c r="BK26" s="247" t="e">
        <f>IF(B26&lt;&gt;"",VLOOKUP(B26,'[9]IRR MES'!$C$5:$AK$600,24),"")</f>
        <v>#REF!</v>
      </c>
      <c r="BL26" s="181" t="e">
        <f>IF(B26&lt;&gt;"",VLOOKUP(B26,'[9]IRR MES'!$C$5:$AK$600,26),"")</f>
        <v>#REF!</v>
      </c>
      <c r="BM26" s="247" t="e">
        <f>IF(B26&lt;&gt;"",VLOOKUP(B26,'[9]IRR MES'!$C$5:$AK$600,27),"")</f>
        <v>#REF!</v>
      </c>
      <c r="BN26" s="181" t="e">
        <f>IF(B26&lt;&gt;"",VLOOKUP(B26,'[9]IRR MES'!$C$5:$AK$600,29),"")</f>
        <v>#REF!</v>
      </c>
      <c r="BO26" s="247" t="e">
        <f>IF(B26&lt;&gt;"",VLOOKUP(B26,'[9]IRR MES'!$C$5:$AK$600,30),"")</f>
        <v>#REF!</v>
      </c>
      <c r="BP26" s="181" t="e">
        <f>IF(B26&lt;&gt;"",VLOOKUP(B26,'[9]IRR MES'!$C$5:$AK$600,32),"")</f>
        <v>#REF!</v>
      </c>
      <c r="BQ26" s="181" t="e">
        <f>IF(B26&lt;&gt;"",VLOOKUP(B26,'[9]IRR MES'!$C$5:$AK$600,33),"")</f>
        <v>#REF!</v>
      </c>
      <c r="BR26" s="181" t="e">
        <f t="shared" si="27"/>
        <v>#REF!</v>
      </c>
      <c r="BS26" s="181" t="e">
        <f>IF(B26&lt;&gt;"",VLOOKUP(B26,'[9]IRR MES'!$C$5:$AK$600,34),"")</f>
        <v>#REF!</v>
      </c>
      <c r="BT26" s="248" t="e">
        <f>IF(B26&lt;&gt;"",VLOOKUP(B26,'[9]IRR MES'!$C$1:$AK$600,4),"")</f>
        <v>#REF!</v>
      </c>
      <c r="BU26" s="248" t="e">
        <f>IF(B26&lt;&gt;"",VLOOKUP(B26,'[9]IRR MES'!$C$1:$AK$600,7),"")</f>
        <v>#REF!</v>
      </c>
      <c r="BV26" s="248" t="e">
        <f>IF(B26&lt;&gt;"",VLOOKUP(B26,'[9]IRR MES'!$C$1:$AK$600,10),"")</f>
        <v>#REF!</v>
      </c>
      <c r="BW26" s="248" t="e">
        <f>IF(B26&lt;&gt;"",VLOOKUP(B26,'[9]IRR MES'!$C$1:$AK$600,13),"")</f>
        <v>#REF!</v>
      </c>
      <c r="BX26" s="248" t="e">
        <f>IF(B26&lt;&gt;"",VLOOKUP(B26,'[9]IRR MES'!$C$1:$AK$600,16),"")</f>
        <v>#REF!</v>
      </c>
      <c r="BY26" s="248" t="e">
        <f>IF(B26&lt;&gt;"",VLOOKUP(B26,'[9]IRR MES'!$C$1:$AK$600,19),"")</f>
        <v>#REF!</v>
      </c>
      <c r="BZ26" s="248" t="e">
        <f>IF(B26&lt;&gt;"",VLOOKUP(B26,'[9]IRR MES'!$C$1:$AK$600,22),"")</f>
        <v>#REF!</v>
      </c>
      <c r="CA26" s="248" t="e">
        <f>IF(B26&lt;&gt;"",VLOOKUP(B26,'[9]IRR MES'!$C$1:$AK$600,25),"")</f>
        <v>#REF!</v>
      </c>
      <c r="CB26" s="248" t="e">
        <f>IF(B26&lt;&gt;"",VLOOKUP(B26,'[9]IRR MES'!$C$1:$AK$600,28),"")</f>
        <v>#REF!</v>
      </c>
      <c r="CC26" s="248" t="e">
        <f>IF(B26&lt;&gt;"",VLOOKUP(B26,'[9]IRR MES'!$C$1:$AK$600,31),"")</f>
        <v>#REF!</v>
      </c>
      <c r="CD26" s="249" t="e">
        <f>#REF!</f>
        <v>#REF!</v>
      </c>
    </row>
    <row r="27" spans="1:82" x14ac:dyDescent="0.2">
      <c r="A27" s="10" t="e">
        <f t="shared" si="2"/>
        <v>#REF!</v>
      </c>
      <c r="B27" s="50" t="e">
        <f>#REF!</f>
        <v>#REF!</v>
      </c>
      <c r="C27" s="38">
        <f>'LEVANTAMENTO DADOS'!B25</f>
        <v>3973.3</v>
      </c>
      <c r="D27" s="63" t="e">
        <f>'BASE DE CALCULO IR'!W27</f>
        <v>#REF!</v>
      </c>
      <c r="E27" s="63"/>
      <c r="F27" s="60"/>
      <c r="G27" s="63"/>
      <c r="H27" s="63"/>
      <c r="I27" s="63"/>
      <c r="J27" s="63"/>
      <c r="K27" s="61"/>
      <c r="L27" s="61"/>
      <c r="M27" s="61"/>
      <c r="N27" s="60"/>
      <c r="O27" s="60"/>
      <c r="P27" s="60"/>
      <c r="Q27" s="62"/>
      <c r="R27" s="62" t="e">
        <f t="shared" si="3"/>
        <v>#REF!</v>
      </c>
      <c r="S27" s="63" t="e">
        <f t="shared" si="4"/>
        <v>#REF!</v>
      </c>
      <c r="T27" s="250"/>
      <c r="U27" s="63" t="e">
        <f t="shared" si="5"/>
        <v>#REF!</v>
      </c>
      <c r="V27" s="63" t="e">
        <f>#REF!</f>
        <v>#REF!</v>
      </c>
      <c r="W27" s="63" t="e">
        <f t="shared" si="6"/>
        <v>#REF!</v>
      </c>
      <c r="X27" s="242" t="e">
        <f t="shared" si="7"/>
        <v>#REF!</v>
      </c>
      <c r="Y27" s="34" t="e">
        <f t="shared" si="28"/>
        <v>#REF!</v>
      </c>
      <c r="Z27" s="34" t="e">
        <f t="shared" si="8"/>
        <v>#REF!</v>
      </c>
      <c r="AA27" s="176" t="e">
        <f t="shared" si="9"/>
        <v>#REF!</v>
      </c>
      <c r="AB27" s="11" t="e">
        <f t="shared" si="10"/>
        <v>#REF!</v>
      </c>
      <c r="AC27" s="245" t="e">
        <f t="shared" si="11"/>
        <v>#REF!</v>
      </c>
      <c r="AD27" s="245" t="e">
        <f t="shared" si="12"/>
        <v>#REF!</v>
      </c>
      <c r="AE27" s="245"/>
      <c r="AF27" s="245" t="e">
        <f t="shared" si="13"/>
        <v>#REF!</v>
      </c>
      <c r="AG27" s="173" t="e">
        <f t="shared" si="14"/>
        <v>#REF!</v>
      </c>
      <c r="AH27" s="51" t="e">
        <f t="shared" si="15"/>
        <v>#REF!</v>
      </c>
      <c r="AI27" s="63" t="e">
        <f>IF(B27&lt;&gt;"",VLOOKUP(B27,'[9]IRR MES'!$C$15:$AK$600,32),"")</f>
        <v>#REF!</v>
      </c>
      <c r="AJ27" s="246" t="e">
        <f t="shared" si="16"/>
        <v>#REF!</v>
      </c>
      <c r="AK27" s="181" t="e">
        <f t="shared" si="17"/>
        <v>#REF!</v>
      </c>
      <c r="AL27" s="181" t="e">
        <f t="shared" si="18"/>
        <v>#REF!</v>
      </c>
      <c r="AM27" s="181" t="e">
        <f t="shared" si="19"/>
        <v>#REF!</v>
      </c>
      <c r="AN27" s="181" t="e">
        <f t="shared" si="20"/>
        <v>#REF!</v>
      </c>
      <c r="AO27" s="181" t="e">
        <f t="shared" si="21"/>
        <v>#REF!</v>
      </c>
      <c r="AP27" s="181" t="e">
        <f t="shared" si="22"/>
        <v>#REF!</v>
      </c>
      <c r="AQ27" s="181" t="e">
        <f t="shared" si="23"/>
        <v>#REF!</v>
      </c>
      <c r="AR27" s="181" t="e">
        <f t="shared" si="24"/>
        <v>#REF!</v>
      </c>
      <c r="AS27" s="181" t="e">
        <f t="shared" si="25"/>
        <v>#REF!</v>
      </c>
      <c r="AT27" s="181" t="e">
        <f t="shared" si="26"/>
        <v>#REF!</v>
      </c>
      <c r="AU27" s="181"/>
      <c r="AV27" s="63"/>
      <c r="AW27" s="181" t="e">
        <f>IF(B27&lt;&gt;"",VLOOKUP(B27,'[9]IRR MES'!$C$5:$AK$600,2),"")</f>
        <v>#REF!</v>
      </c>
      <c r="AX27" s="247" t="e">
        <f>IF(B27&lt;&gt;"",VLOOKUP(B27,'[9]IRR MES'!$C$5:$AK$600,3),"")</f>
        <v>#REF!</v>
      </c>
      <c r="AY27" s="181" t="e">
        <f>IF(B27&lt;&gt;"",VLOOKUP(B27,'[9]IRR MES'!$C$5:$AK$600,5),"")</f>
        <v>#REF!</v>
      </c>
      <c r="AZ27" s="247" t="e">
        <f>IF(B27&lt;&gt;"",VLOOKUP(B27,'[9]IRR MES'!$C$5:$AK$600,6),"")</f>
        <v>#REF!</v>
      </c>
      <c r="BA27" s="181" t="e">
        <f>IF(B27&lt;&gt;"",VLOOKUP(B27,'[9]IRR MES'!$C$5:$AK$600,8),"")</f>
        <v>#REF!</v>
      </c>
      <c r="BB27" s="247" t="e">
        <f>IF(B27&lt;&gt;"",VLOOKUP(B27,'[9]IRR MES'!$C$5:$AK$600,9),"")</f>
        <v>#REF!</v>
      </c>
      <c r="BC27" s="247" t="e">
        <f>IF(B27&lt;&gt;"",VLOOKUP(B27,'[9]IRR MES'!$C$5:$AK$600,12),"")</f>
        <v>#REF!</v>
      </c>
      <c r="BD27" s="181" t="e">
        <f>IF(B27&lt;&gt;"",VLOOKUP(B27,'[9]IRR MES'!$C$5:$AK$600,14),"")</f>
        <v>#REF!</v>
      </c>
      <c r="BE27" s="247" t="e">
        <f>IF(B27&lt;&gt;"",VLOOKUP(B27,'[9]IRR MES'!$C$5:$AK$600,15),"")</f>
        <v>#REF!</v>
      </c>
      <c r="BF27" s="181" t="e">
        <f>IF(B27&lt;&gt;"",VLOOKUP(B27,'[9]IRR MES'!$C$5:$AK$600,17),"")</f>
        <v>#REF!</v>
      </c>
      <c r="BG27" s="247" t="e">
        <f>IF(B27&lt;&gt;"",VLOOKUP(B27,'[9]IRR MES'!$C$5:$AK$600,18),"")</f>
        <v>#REF!</v>
      </c>
      <c r="BH27" s="181" t="e">
        <f>IF(B27&lt;&gt;"",VLOOKUP(B27,'[9]IRR MES'!$C$5:$AK$600,20),"")</f>
        <v>#REF!</v>
      </c>
      <c r="BI27" s="247" t="e">
        <f>IF(B27&lt;&gt;"",VLOOKUP(B27,'[9]IRR MES'!$C$5:$AK$600,21),"")</f>
        <v>#REF!</v>
      </c>
      <c r="BJ27" s="181" t="e">
        <f>IF(B27&lt;&gt;"",VLOOKUP(B27,'[9]IRR MES'!$C$5:$AK$600,23),"")</f>
        <v>#REF!</v>
      </c>
      <c r="BK27" s="247" t="e">
        <f>IF(B27&lt;&gt;"",VLOOKUP(B27,'[9]IRR MES'!$C$5:$AK$600,24),"")</f>
        <v>#REF!</v>
      </c>
      <c r="BL27" s="181" t="e">
        <f>IF(B27&lt;&gt;"",VLOOKUP(B27,'[9]IRR MES'!$C$5:$AK$600,26),"")</f>
        <v>#REF!</v>
      </c>
      <c r="BM27" s="247" t="e">
        <f>IF(B27&lt;&gt;"",VLOOKUP(B27,'[9]IRR MES'!$C$5:$AK$600,27),"")</f>
        <v>#REF!</v>
      </c>
      <c r="BN27" s="181" t="e">
        <f>IF(B27&lt;&gt;"",VLOOKUP(B27,'[9]IRR MES'!$C$5:$AK$600,29),"")</f>
        <v>#REF!</v>
      </c>
      <c r="BO27" s="247" t="e">
        <f>IF(B27&lt;&gt;"",VLOOKUP(B27,'[9]IRR MES'!$C$5:$AK$600,30),"")</f>
        <v>#REF!</v>
      </c>
      <c r="BP27" s="181" t="e">
        <f>IF(B27&lt;&gt;"",VLOOKUP(B27,'[9]IRR MES'!$C$5:$AK$600,32),"")</f>
        <v>#REF!</v>
      </c>
      <c r="BQ27" s="181" t="e">
        <f>IF(B27&lt;&gt;"",VLOOKUP(B27,'[9]IRR MES'!$C$5:$AK$600,33),"")</f>
        <v>#REF!</v>
      </c>
      <c r="BR27" s="181" t="e">
        <f t="shared" si="27"/>
        <v>#REF!</v>
      </c>
      <c r="BS27" s="181" t="e">
        <f>IF(B27&lt;&gt;"",VLOOKUP(B27,'[9]IRR MES'!$C$5:$AK$600,34),"")</f>
        <v>#REF!</v>
      </c>
      <c r="BT27" s="248" t="e">
        <f>IF(B27&lt;&gt;"",VLOOKUP(B27,'[9]IRR MES'!$C$1:$AK$600,4),"")</f>
        <v>#REF!</v>
      </c>
      <c r="BU27" s="248" t="e">
        <f>IF(B27&lt;&gt;"",VLOOKUP(B27,'[9]IRR MES'!$C$1:$AK$600,7),"")</f>
        <v>#REF!</v>
      </c>
      <c r="BV27" s="248" t="e">
        <f>IF(B27&lt;&gt;"",VLOOKUP(B27,'[9]IRR MES'!$C$1:$AK$600,10),"")</f>
        <v>#REF!</v>
      </c>
      <c r="BW27" s="248" t="e">
        <f>IF(B27&lt;&gt;"",VLOOKUP(B27,'[9]IRR MES'!$C$1:$AK$600,13),"")</f>
        <v>#REF!</v>
      </c>
      <c r="BX27" s="248" t="e">
        <f>IF(B27&lt;&gt;"",VLOOKUP(B27,'[9]IRR MES'!$C$1:$AK$600,16),"")</f>
        <v>#REF!</v>
      </c>
      <c r="BY27" s="248" t="e">
        <f>IF(B27&lt;&gt;"",VLOOKUP(B27,'[9]IRR MES'!$C$1:$AK$600,19),"")</f>
        <v>#REF!</v>
      </c>
      <c r="BZ27" s="248" t="e">
        <f>IF(B27&lt;&gt;"",VLOOKUP(B27,'[9]IRR MES'!$C$1:$AK$600,22),"")</f>
        <v>#REF!</v>
      </c>
      <c r="CA27" s="248" t="e">
        <f>IF(B27&lt;&gt;"",VLOOKUP(B27,'[9]IRR MES'!$C$1:$AK$600,25),"")</f>
        <v>#REF!</v>
      </c>
      <c r="CB27" s="248" t="e">
        <f>IF(B27&lt;&gt;"",VLOOKUP(B27,'[9]IRR MES'!$C$1:$AK$600,28),"")</f>
        <v>#REF!</v>
      </c>
      <c r="CC27" s="248" t="e">
        <f>IF(B27&lt;&gt;"",VLOOKUP(B27,'[9]IRR MES'!$C$1:$AK$600,31),"")</f>
        <v>#REF!</v>
      </c>
      <c r="CD27" s="249" t="e">
        <f>#REF!</f>
        <v>#REF!</v>
      </c>
    </row>
    <row r="28" spans="1:82" x14ac:dyDescent="0.2">
      <c r="A28" s="10" t="e">
        <f t="shared" si="2"/>
        <v>#REF!</v>
      </c>
      <c r="B28" s="50" t="e">
        <f>#REF!</f>
        <v>#REF!</v>
      </c>
      <c r="C28" s="38">
        <f>'LEVANTAMENTO DADOS'!B26</f>
        <v>3176.02</v>
      </c>
      <c r="D28" s="63" t="e">
        <f>'BASE DE CALCULO IR'!W28</f>
        <v>#REF!</v>
      </c>
      <c r="E28" s="63"/>
      <c r="F28" s="60"/>
      <c r="G28" s="63"/>
      <c r="H28" s="63"/>
      <c r="I28" s="63"/>
      <c r="J28" s="63"/>
      <c r="K28" s="61"/>
      <c r="L28" s="61"/>
      <c r="M28" s="61"/>
      <c r="N28" s="60"/>
      <c r="O28" s="60"/>
      <c r="P28" s="60"/>
      <c r="Q28" s="62"/>
      <c r="R28" s="62" t="e">
        <f t="shared" si="3"/>
        <v>#REF!</v>
      </c>
      <c r="S28" s="63" t="e">
        <f t="shared" si="4"/>
        <v>#REF!</v>
      </c>
      <c r="T28" s="250"/>
      <c r="U28" s="63" t="e">
        <f t="shared" si="5"/>
        <v>#REF!</v>
      </c>
      <c r="V28" s="63" t="e">
        <f>#REF!</f>
        <v>#REF!</v>
      </c>
      <c r="W28" s="63" t="e">
        <f t="shared" si="6"/>
        <v>#REF!</v>
      </c>
      <c r="X28" s="242" t="e">
        <f t="shared" si="7"/>
        <v>#REF!</v>
      </c>
      <c r="Y28" s="34" t="e">
        <f t="shared" si="28"/>
        <v>#REF!</v>
      </c>
      <c r="Z28" s="34" t="e">
        <f t="shared" si="8"/>
        <v>#REF!</v>
      </c>
      <c r="AA28" s="176" t="e">
        <f t="shared" si="9"/>
        <v>#REF!</v>
      </c>
      <c r="AB28" s="11" t="e">
        <f t="shared" si="10"/>
        <v>#REF!</v>
      </c>
      <c r="AC28" s="245" t="e">
        <f t="shared" si="11"/>
        <v>#REF!</v>
      </c>
      <c r="AD28" s="245" t="e">
        <f t="shared" si="12"/>
        <v>#REF!</v>
      </c>
      <c r="AE28" s="245"/>
      <c r="AF28" s="245" t="e">
        <f t="shared" si="13"/>
        <v>#REF!</v>
      </c>
      <c r="AG28" s="173" t="e">
        <f t="shared" si="14"/>
        <v>#REF!</v>
      </c>
      <c r="AH28" s="51" t="e">
        <f t="shared" si="15"/>
        <v>#REF!</v>
      </c>
      <c r="AI28" s="63" t="e">
        <f>IF(B28&lt;&gt;"",VLOOKUP(B28,'[9]IRR MES'!$C$15:$AK$600,32),"")</f>
        <v>#REF!</v>
      </c>
      <c r="AJ28" s="246" t="e">
        <f t="shared" si="16"/>
        <v>#REF!</v>
      </c>
      <c r="AK28" s="181" t="e">
        <f t="shared" si="17"/>
        <v>#REF!</v>
      </c>
      <c r="AL28" s="181" t="e">
        <f t="shared" si="18"/>
        <v>#REF!</v>
      </c>
      <c r="AM28" s="181" t="e">
        <f t="shared" si="19"/>
        <v>#REF!</v>
      </c>
      <c r="AN28" s="181" t="e">
        <f t="shared" si="20"/>
        <v>#REF!</v>
      </c>
      <c r="AO28" s="181" t="e">
        <f t="shared" si="21"/>
        <v>#REF!</v>
      </c>
      <c r="AP28" s="181" t="e">
        <f t="shared" si="22"/>
        <v>#REF!</v>
      </c>
      <c r="AQ28" s="181" t="e">
        <f t="shared" si="23"/>
        <v>#REF!</v>
      </c>
      <c r="AR28" s="181" t="e">
        <f t="shared" si="24"/>
        <v>#REF!</v>
      </c>
      <c r="AS28" s="181" t="e">
        <f t="shared" si="25"/>
        <v>#REF!</v>
      </c>
      <c r="AT28" s="181" t="e">
        <f t="shared" si="26"/>
        <v>#REF!</v>
      </c>
      <c r="AU28" s="181"/>
      <c r="AV28" s="63"/>
      <c r="AW28" s="181" t="e">
        <f>IF(B28&lt;&gt;"",VLOOKUP(B28,'[9]IRR MES'!$C$5:$AK$600,2),"")</f>
        <v>#REF!</v>
      </c>
      <c r="AX28" s="247" t="e">
        <f>IF(B28&lt;&gt;"",VLOOKUP(B28,'[9]IRR MES'!$C$5:$AK$600,3),"")</f>
        <v>#REF!</v>
      </c>
      <c r="AY28" s="181" t="e">
        <f>IF(B28&lt;&gt;"",VLOOKUP(B28,'[9]IRR MES'!$C$5:$AK$600,5),"")</f>
        <v>#REF!</v>
      </c>
      <c r="AZ28" s="247" t="e">
        <f>IF(B28&lt;&gt;"",VLOOKUP(B28,'[9]IRR MES'!$C$5:$AK$600,6),"")</f>
        <v>#REF!</v>
      </c>
      <c r="BA28" s="181" t="e">
        <f>IF(B28&lt;&gt;"",VLOOKUP(B28,'[9]IRR MES'!$C$5:$AK$600,8),"")</f>
        <v>#REF!</v>
      </c>
      <c r="BB28" s="247" t="e">
        <f>IF(B28&lt;&gt;"",VLOOKUP(B28,'[9]IRR MES'!$C$5:$AK$600,9),"")</f>
        <v>#REF!</v>
      </c>
      <c r="BC28" s="247" t="e">
        <f>IF(B28&lt;&gt;"",VLOOKUP(B28,'[9]IRR MES'!$C$5:$AK$600,12),"")</f>
        <v>#REF!</v>
      </c>
      <c r="BD28" s="181" t="e">
        <f>IF(B28&lt;&gt;"",VLOOKUP(B28,'[9]IRR MES'!$C$5:$AK$600,14),"")</f>
        <v>#REF!</v>
      </c>
      <c r="BE28" s="247" t="e">
        <f>IF(B28&lt;&gt;"",VLOOKUP(B28,'[9]IRR MES'!$C$5:$AK$600,15),"")</f>
        <v>#REF!</v>
      </c>
      <c r="BF28" s="181" t="e">
        <f>IF(B28&lt;&gt;"",VLOOKUP(B28,'[9]IRR MES'!$C$5:$AK$600,17),"")</f>
        <v>#REF!</v>
      </c>
      <c r="BG28" s="247" t="e">
        <f>IF(B28&lt;&gt;"",VLOOKUP(B28,'[9]IRR MES'!$C$5:$AK$600,18),"")</f>
        <v>#REF!</v>
      </c>
      <c r="BH28" s="181" t="e">
        <f>IF(B28&lt;&gt;"",VLOOKUP(B28,'[9]IRR MES'!$C$5:$AK$600,20),"")</f>
        <v>#REF!</v>
      </c>
      <c r="BI28" s="247" t="e">
        <f>IF(B28&lt;&gt;"",VLOOKUP(B28,'[9]IRR MES'!$C$5:$AK$600,21),"")</f>
        <v>#REF!</v>
      </c>
      <c r="BJ28" s="181" t="e">
        <f>IF(B28&lt;&gt;"",VLOOKUP(B28,'[9]IRR MES'!$C$5:$AK$600,23),"")</f>
        <v>#REF!</v>
      </c>
      <c r="BK28" s="247" t="e">
        <f>IF(B28&lt;&gt;"",VLOOKUP(B28,'[9]IRR MES'!$C$5:$AK$600,24),"")</f>
        <v>#REF!</v>
      </c>
      <c r="BL28" s="181" t="e">
        <f>IF(B28&lt;&gt;"",VLOOKUP(B28,'[9]IRR MES'!$C$5:$AK$600,26),"")</f>
        <v>#REF!</v>
      </c>
      <c r="BM28" s="247" t="e">
        <f>IF(B28&lt;&gt;"",VLOOKUP(B28,'[9]IRR MES'!$C$5:$AK$600,27),"")</f>
        <v>#REF!</v>
      </c>
      <c r="BN28" s="181" t="e">
        <f>IF(B28&lt;&gt;"",VLOOKUP(B28,'[9]IRR MES'!$C$5:$AK$600,29),"")</f>
        <v>#REF!</v>
      </c>
      <c r="BO28" s="247" t="e">
        <f>IF(B28&lt;&gt;"",VLOOKUP(B28,'[9]IRR MES'!$C$5:$AK$600,30),"")</f>
        <v>#REF!</v>
      </c>
      <c r="BP28" s="181" t="e">
        <f>IF(B28&lt;&gt;"",VLOOKUP(B28,'[9]IRR MES'!$C$5:$AK$600,32),"")</f>
        <v>#REF!</v>
      </c>
      <c r="BQ28" s="181" t="e">
        <f>IF(B28&lt;&gt;"",VLOOKUP(B28,'[9]IRR MES'!$C$5:$AK$600,33),"")</f>
        <v>#REF!</v>
      </c>
      <c r="BR28" s="181" t="e">
        <f t="shared" si="27"/>
        <v>#REF!</v>
      </c>
      <c r="BS28" s="181" t="e">
        <f>IF(B28&lt;&gt;"",VLOOKUP(B28,'[9]IRR MES'!$C$5:$AK$600,34),"")</f>
        <v>#REF!</v>
      </c>
      <c r="BT28" s="248" t="e">
        <f>IF(B28&lt;&gt;"",VLOOKUP(B28,'[9]IRR MES'!$C$1:$AK$600,4),"")</f>
        <v>#REF!</v>
      </c>
      <c r="BU28" s="248" t="e">
        <f>IF(B28&lt;&gt;"",VLOOKUP(B28,'[9]IRR MES'!$C$1:$AK$600,7),"")</f>
        <v>#REF!</v>
      </c>
      <c r="BV28" s="248" t="e">
        <f>IF(B28&lt;&gt;"",VLOOKUP(B28,'[9]IRR MES'!$C$1:$AK$600,10),"")</f>
        <v>#REF!</v>
      </c>
      <c r="BW28" s="248" t="e">
        <f>IF(B28&lt;&gt;"",VLOOKUP(B28,'[9]IRR MES'!$C$1:$AK$600,13),"")</f>
        <v>#REF!</v>
      </c>
      <c r="BX28" s="248" t="e">
        <f>IF(B28&lt;&gt;"",VLOOKUP(B28,'[9]IRR MES'!$C$1:$AK$600,16),"")</f>
        <v>#REF!</v>
      </c>
      <c r="BY28" s="248" t="e">
        <f>IF(B28&lt;&gt;"",VLOOKUP(B28,'[9]IRR MES'!$C$1:$AK$600,19),"")</f>
        <v>#REF!</v>
      </c>
      <c r="BZ28" s="248" t="e">
        <f>IF(B28&lt;&gt;"",VLOOKUP(B28,'[9]IRR MES'!$C$1:$AK$600,22),"")</f>
        <v>#REF!</v>
      </c>
      <c r="CA28" s="248" t="e">
        <f>IF(B28&lt;&gt;"",VLOOKUP(B28,'[9]IRR MES'!$C$1:$AK$600,25),"")</f>
        <v>#REF!</v>
      </c>
      <c r="CB28" s="248" t="e">
        <f>IF(B28&lt;&gt;"",VLOOKUP(B28,'[9]IRR MES'!$C$1:$AK$600,28),"")</f>
        <v>#REF!</v>
      </c>
      <c r="CC28" s="248" t="e">
        <f>IF(B28&lt;&gt;"",VLOOKUP(B28,'[9]IRR MES'!$C$1:$AK$600,31),"")</f>
        <v>#REF!</v>
      </c>
      <c r="CD28" s="249" t="e">
        <f>#REF!</f>
        <v>#REF!</v>
      </c>
    </row>
    <row r="29" spans="1:82" x14ac:dyDescent="0.2">
      <c r="A29" s="10" t="e">
        <f t="shared" si="2"/>
        <v>#REF!</v>
      </c>
      <c r="B29" s="50" t="e">
        <f>#REF!</f>
        <v>#REF!</v>
      </c>
      <c r="C29" s="38">
        <f>'LEVANTAMENTO DADOS'!B27</f>
        <v>3515.2</v>
      </c>
      <c r="D29" s="63" t="e">
        <f>'BASE DE CALCULO IR'!W29</f>
        <v>#REF!</v>
      </c>
      <c r="E29" s="63"/>
      <c r="F29" s="60"/>
      <c r="G29" s="63"/>
      <c r="H29" s="63"/>
      <c r="I29" s="63"/>
      <c r="J29" s="63"/>
      <c r="K29" s="61"/>
      <c r="L29" s="61"/>
      <c r="M29" s="61"/>
      <c r="N29" s="60"/>
      <c r="O29" s="60"/>
      <c r="P29" s="60"/>
      <c r="Q29" s="62"/>
      <c r="R29" s="62" t="e">
        <f t="shared" si="3"/>
        <v>#REF!</v>
      </c>
      <c r="S29" s="63" t="e">
        <f t="shared" si="4"/>
        <v>#REF!</v>
      </c>
      <c r="T29" s="250"/>
      <c r="U29" s="63" t="e">
        <f t="shared" si="5"/>
        <v>#REF!</v>
      </c>
      <c r="V29" s="63" t="e">
        <f>#REF!</f>
        <v>#REF!</v>
      </c>
      <c r="W29" s="63" t="e">
        <f t="shared" si="6"/>
        <v>#REF!</v>
      </c>
      <c r="X29" s="242" t="e">
        <f t="shared" si="7"/>
        <v>#REF!</v>
      </c>
      <c r="Y29" s="34" t="e">
        <f t="shared" si="28"/>
        <v>#REF!</v>
      </c>
      <c r="Z29" s="34" t="e">
        <f t="shared" si="8"/>
        <v>#REF!</v>
      </c>
      <c r="AA29" s="176" t="e">
        <f t="shared" si="9"/>
        <v>#REF!</v>
      </c>
      <c r="AB29" s="11" t="e">
        <f t="shared" si="10"/>
        <v>#REF!</v>
      </c>
      <c r="AC29" s="245" t="e">
        <f t="shared" si="11"/>
        <v>#REF!</v>
      </c>
      <c r="AD29" s="245" t="e">
        <f t="shared" si="12"/>
        <v>#REF!</v>
      </c>
      <c r="AE29" s="245"/>
      <c r="AF29" s="245" t="e">
        <f t="shared" si="13"/>
        <v>#REF!</v>
      </c>
      <c r="AG29" s="173" t="e">
        <f t="shared" si="14"/>
        <v>#REF!</v>
      </c>
      <c r="AH29" s="51" t="e">
        <f t="shared" si="15"/>
        <v>#REF!</v>
      </c>
      <c r="AI29" s="63" t="e">
        <f>IF(B29&lt;&gt;"",VLOOKUP(B29,'[9]IRR MES'!$C$15:$AK$600,32),"")</f>
        <v>#REF!</v>
      </c>
      <c r="AJ29" s="246" t="e">
        <f t="shared" si="16"/>
        <v>#REF!</v>
      </c>
      <c r="AK29" s="181" t="e">
        <f t="shared" si="17"/>
        <v>#REF!</v>
      </c>
      <c r="AL29" s="181" t="e">
        <f t="shared" si="18"/>
        <v>#REF!</v>
      </c>
      <c r="AM29" s="181" t="e">
        <f t="shared" si="19"/>
        <v>#REF!</v>
      </c>
      <c r="AN29" s="181" t="e">
        <f t="shared" si="20"/>
        <v>#REF!</v>
      </c>
      <c r="AO29" s="181" t="e">
        <f t="shared" si="21"/>
        <v>#REF!</v>
      </c>
      <c r="AP29" s="181" t="e">
        <f t="shared" si="22"/>
        <v>#REF!</v>
      </c>
      <c r="AQ29" s="181" t="e">
        <f t="shared" si="23"/>
        <v>#REF!</v>
      </c>
      <c r="AR29" s="181" t="e">
        <f t="shared" si="24"/>
        <v>#REF!</v>
      </c>
      <c r="AS29" s="181" t="e">
        <f t="shared" si="25"/>
        <v>#REF!</v>
      </c>
      <c r="AT29" s="181" t="e">
        <f t="shared" si="26"/>
        <v>#REF!</v>
      </c>
      <c r="AU29" s="181"/>
      <c r="AV29" s="63"/>
      <c r="AW29" s="181" t="e">
        <f>IF(B29&lt;&gt;"",VLOOKUP(B29,'[9]IRR MES'!$C$5:$AK$600,2),"")</f>
        <v>#REF!</v>
      </c>
      <c r="AX29" s="247" t="e">
        <f>IF(B29&lt;&gt;"",VLOOKUP(B29,'[9]IRR MES'!$C$5:$AK$600,3),"")</f>
        <v>#REF!</v>
      </c>
      <c r="AY29" s="181" t="e">
        <f>IF(B29&lt;&gt;"",VLOOKUP(B29,'[9]IRR MES'!$C$5:$AK$600,5),"")</f>
        <v>#REF!</v>
      </c>
      <c r="AZ29" s="247" t="e">
        <f>IF(B29&lt;&gt;"",VLOOKUP(B29,'[9]IRR MES'!$C$5:$AK$600,6),"")</f>
        <v>#REF!</v>
      </c>
      <c r="BA29" s="181" t="e">
        <f>IF(B29&lt;&gt;"",VLOOKUP(B29,'[9]IRR MES'!$C$5:$AK$600,8),"")</f>
        <v>#REF!</v>
      </c>
      <c r="BB29" s="247" t="e">
        <f>IF(B29&lt;&gt;"",VLOOKUP(B29,'[9]IRR MES'!$C$5:$AK$600,9),"")</f>
        <v>#REF!</v>
      </c>
      <c r="BC29" s="247" t="e">
        <f>IF(B29&lt;&gt;"",VLOOKUP(B29,'[9]IRR MES'!$C$5:$AK$600,12),"")</f>
        <v>#REF!</v>
      </c>
      <c r="BD29" s="181" t="e">
        <f>IF(B29&lt;&gt;"",VLOOKUP(B29,'[9]IRR MES'!$C$5:$AK$600,14),"")</f>
        <v>#REF!</v>
      </c>
      <c r="BE29" s="247" t="e">
        <f>IF(B29&lt;&gt;"",VLOOKUP(B29,'[9]IRR MES'!$C$5:$AK$600,15),"")</f>
        <v>#REF!</v>
      </c>
      <c r="BF29" s="181" t="e">
        <f>IF(B29&lt;&gt;"",VLOOKUP(B29,'[9]IRR MES'!$C$5:$AK$600,17),"")</f>
        <v>#REF!</v>
      </c>
      <c r="BG29" s="247" t="e">
        <f>IF(B29&lt;&gt;"",VLOOKUP(B29,'[9]IRR MES'!$C$5:$AK$600,18),"")</f>
        <v>#REF!</v>
      </c>
      <c r="BH29" s="181" t="e">
        <f>IF(B29&lt;&gt;"",VLOOKUP(B29,'[9]IRR MES'!$C$5:$AK$600,20),"")</f>
        <v>#REF!</v>
      </c>
      <c r="BI29" s="247" t="e">
        <f>IF(B29&lt;&gt;"",VLOOKUP(B29,'[9]IRR MES'!$C$5:$AK$600,21),"")</f>
        <v>#REF!</v>
      </c>
      <c r="BJ29" s="181" t="e">
        <f>IF(B29&lt;&gt;"",VLOOKUP(B29,'[9]IRR MES'!$C$5:$AK$600,23),"")</f>
        <v>#REF!</v>
      </c>
      <c r="BK29" s="247" t="e">
        <f>IF(B29&lt;&gt;"",VLOOKUP(B29,'[9]IRR MES'!$C$5:$AK$600,24),"")</f>
        <v>#REF!</v>
      </c>
      <c r="BL29" s="181" t="e">
        <f>IF(B29&lt;&gt;"",VLOOKUP(B29,'[9]IRR MES'!$C$5:$AK$600,26),"")</f>
        <v>#REF!</v>
      </c>
      <c r="BM29" s="247" t="e">
        <f>IF(B29&lt;&gt;"",VLOOKUP(B29,'[9]IRR MES'!$C$5:$AK$600,27),"")</f>
        <v>#REF!</v>
      </c>
      <c r="BN29" s="181" t="e">
        <f>IF(B29&lt;&gt;"",VLOOKUP(B29,'[9]IRR MES'!$C$5:$AK$600,29),"")</f>
        <v>#REF!</v>
      </c>
      <c r="BO29" s="247" t="e">
        <f>IF(B29&lt;&gt;"",VLOOKUP(B29,'[9]IRR MES'!$C$5:$AK$600,30),"")</f>
        <v>#REF!</v>
      </c>
      <c r="BP29" s="181" t="e">
        <f>IF(B29&lt;&gt;"",VLOOKUP(B29,'[9]IRR MES'!$C$5:$AK$600,32),"")</f>
        <v>#REF!</v>
      </c>
      <c r="BQ29" s="181" t="e">
        <f>IF(B29&lt;&gt;"",VLOOKUP(B29,'[9]IRR MES'!$C$5:$AK$600,33),"")</f>
        <v>#REF!</v>
      </c>
      <c r="BR29" s="181" t="e">
        <f t="shared" si="27"/>
        <v>#REF!</v>
      </c>
      <c r="BS29" s="181" t="e">
        <f>IF(B29&lt;&gt;"",VLOOKUP(B29,'[9]IRR MES'!$C$5:$AK$600,34),"")</f>
        <v>#REF!</v>
      </c>
      <c r="BT29" s="248" t="e">
        <f>IF(B29&lt;&gt;"",VLOOKUP(B29,'[9]IRR MES'!$C$1:$AK$600,4),"")</f>
        <v>#REF!</v>
      </c>
      <c r="BU29" s="248" t="e">
        <f>IF(B29&lt;&gt;"",VLOOKUP(B29,'[9]IRR MES'!$C$1:$AK$600,7),"")</f>
        <v>#REF!</v>
      </c>
      <c r="BV29" s="248" t="e">
        <f>IF(B29&lt;&gt;"",VLOOKUP(B29,'[9]IRR MES'!$C$1:$AK$600,10),"")</f>
        <v>#REF!</v>
      </c>
      <c r="BW29" s="248" t="e">
        <f>IF(B29&lt;&gt;"",VLOOKUP(B29,'[9]IRR MES'!$C$1:$AK$600,13),"")</f>
        <v>#REF!</v>
      </c>
      <c r="BX29" s="248" t="e">
        <f>IF(B29&lt;&gt;"",VLOOKUP(B29,'[9]IRR MES'!$C$1:$AK$600,16),"")</f>
        <v>#REF!</v>
      </c>
      <c r="BY29" s="248" t="e">
        <f>IF(B29&lt;&gt;"",VLOOKUP(B29,'[9]IRR MES'!$C$1:$AK$600,19),"")</f>
        <v>#REF!</v>
      </c>
      <c r="BZ29" s="248" t="e">
        <f>IF(B29&lt;&gt;"",VLOOKUP(B29,'[9]IRR MES'!$C$1:$AK$600,22),"")</f>
        <v>#REF!</v>
      </c>
      <c r="CA29" s="248" t="e">
        <f>IF(B29&lt;&gt;"",VLOOKUP(B29,'[9]IRR MES'!$C$1:$AK$600,25),"")</f>
        <v>#REF!</v>
      </c>
      <c r="CB29" s="248" t="e">
        <f>IF(B29&lt;&gt;"",VLOOKUP(B29,'[9]IRR MES'!$C$1:$AK$600,28),"")</f>
        <v>#REF!</v>
      </c>
      <c r="CC29" s="248" t="e">
        <f>IF(B29&lt;&gt;"",VLOOKUP(B29,'[9]IRR MES'!$C$1:$AK$600,31),"")</f>
        <v>#REF!</v>
      </c>
      <c r="CD29" s="249" t="e">
        <f>#REF!</f>
        <v>#REF!</v>
      </c>
    </row>
    <row r="30" spans="1:82" x14ac:dyDescent="0.2">
      <c r="A30" s="10" t="e">
        <f t="shared" si="2"/>
        <v>#REF!</v>
      </c>
      <c r="B30" s="50" t="e">
        <f>#REF!</f>
        <v>#REF!</v>
      </c>
      <c r="C30" s="38">
        <f>'LEVANTAMENTO DADOS'!B28</f>
        <v>3561.13</v>
      </c>
      <c r="D30" s="63" t="e">
        <f>'BASE DE CALCULO IR'!W30</f>
        <v>#REF!</v>
      </c>
      <c r="E30" s="63"/>
      <c r="F30" s="60"/>
      <c r="G30" s="63"/>
      <c r="H30" s="63"/>
      <c r="I30" s="63"/>
      <c r="J30" s="63"/>
      <c r="K30" s="61"/>
      <c r="L30" s="61"/>
      <c r="M30" s="61"/>
      <c r="N30" s="60"/>
      <c r="O30" s="60"/>
      <c r="P30" s="60"/>
      <c r="Q30" s="62"/>
      <c r="R30" s="62" t="e">
        <f t="shared" si="3"/>
        <v>#REF!</v>
      </c>
      <c r="S30" s="63" t="e">
        <f t="shared" si="4"/>
        <v>#REF!</v>
      </c>
      <c r="T30" s="250"/>
      <c r="U30" s="63" t="e">
        <f t="shared" si="5"/>
        <v>#REF!</v>
      </c>
      <c r="V30" s="63" t="e">
        <f>#REF!</f>
        <v>#REF!</v>
      </c>
      <c r="W30" s="63" t="e">
        <f t="shared" si="6"/>
        <v>#REF!</v>
      </c>
      <c r="X30" s="242" t="e">
        <f t="shared" si="7"/>
        <v>#REF!</v>
      </c>
      <c r="Y30" s="34" t="e">
        <f t="shared" si="28"/>
        <v>#REF!</v>
      </c>
      <c r="Z30" s="34" t="e">
        <f t="shared" si="8"/>
        <v>#REF!</v>
      </c>
      <c r="AA30" s="176" t="e">
        <f t="shared" si="9"/>
        <v>#REF!</v>
      </c>
      <c r="AB30" s="11" t="e">
        <f t="shared" si="10"/>
        <v>#REF!</v>
      </c>
      <c r="AC30" s="245" t="e">
        <f t="shared" si="11"/>
        <v>#REF!</v>
      </c>
      <c r="AD30" s="245" t="e">
        <f t="shared" si="12"/>
        <v>#REF!</v>
      </c>
      <c r="AE30" s="245"/>
      <c r="AF30" s="245" t="e">
        <f t="shared" si="13"/>
        <v>#REF!</v>
      </c>
      <c r="AG30" s="173" t="e">
        <f t="shared" si="14"/>
        <v>#REF!</v>
      </c>
      <c r="AH30" s="51" t="e">
        <f t="shared" si="15"/>
        <v>#REF!</v>
      </c>
      <c r="AI30" s="63" t="e">
        <f>IF(B30&lt;&gt;"",VLOOKUP(B30,'[9]IRR MES'!$C$15:$AK$600,32),"")</f>
        <v>#REF!</v>
      </c>
      <c r="AJ30" s="246" t="e">
        <f t="shared" si="16"/>
        <v>#REF!</v>
      </c>
      <c r="AK30" s="181" t="e">
        <f t="shared" si="17"/>
        <v>#REF!</v>
      </c>
      <c r="AL30" s="181" t="e">
        <f t="shared" si="18"/>
        <v>#REF!</v>
      </c>
      <c r="AM30" s="181" t="e">
        <f t="shared" si="19"/>
        <v>#REF!</v>
      </c>
      <c r="AN30" s="181" t="e">
        <f t="shared" si="20"/>
        <v>#REF!</v>
      </c>
      <c r="AO30" s="181" t="e">
        <f t="shared" si="21"/>
        <v>#REF!</v>
      </c>
      <c r="AP30" s="181" t="e">
        <f t="shared" si="22"/>
        <v>#REF!</v>
      </c>
      <c r="AQ30" s="181" t="e">
        <f t="shared" si="23"/>
        <v>#REF!</v>
      </c>
      <c r="AR30" s="181" t="e">
        <f t="shared" si="24"/>
        <v>#REF!</v>
      </c>
      <c r="AS30" s="181" t="e">
        <f t="shared" si="25"/>
        <v>#REF!</v>
      </c>
      <c r="AT30" s="181" t="e">
        <f t="shared" si="26"/>
        <v>#REF!</v>
      </c>
      <c r="AU30" s="181"/>
      <c r="AV30" s="63"/>
      <c r="AW30" s="181" t="e">
        <f>IF(B30&lt;&gt;"",VLOOKUP(B30,'[9]IRR MES'!$C$5:$AK$600,2),"")</f>
        <v>#REF!</v>
      </c>
      <c r="AX30" s="247" t="e">
        <f>IF(B30&lt;&gt;"",VLOOKUP(B30,'[9]IRR MES'!$C$5:$AK$600,3),"")</f>
        <v>#REF!</v>
      </c>
      <c r="AY30" s="181" t="e">
        <f>IF(B30&lt;&gt;"",VLOOKUP(B30,'[9]IRR MES'!$C$5:$AK$600,5),"")</f>
        <v>#REF!</v>
      </c>
      <c r="AZ30" s="247" t="e">
        <f>IF(B30&lt;&gt;"",VLOOKUP(B30,'[9]IRR MES'!$C$5:$AK$600,6),"")</f>
        <v>#REF!</v>
      </c>
      <c r="BA30" s="181" t="e">
        <f>IF(B30&lt;&gt;"",VLOOKUP(B30,'[9]IRR MES'!$C$5:$AK$600,8),"")</f>
        <v>#REF!</v>
      </c>
      <c r="BB30" s="247" t="e">
        <f>IF(B30&lt;&gt;"",VLOOKUP(B30,'[9]IRR MES'!$C$5:$AK$600,9),"")</f>
        <v>#REF!</v>
      </c>
      <c r="BC30" s="247" t="e">
        <f>IF(B30&lt;&gt;"",VLOOKUP(B30,'[9]IRR MES'!$C$5:$AK$600,12),"")</f>
        <v>#REF!</v>
      </c>
      <c r="BD30" s="181" t="e">
        <f>IF(B30&lt;&gt;"",VLOOKUP(B30,'[9]IRR MES'!$C$5:$AK$600,14),"")</f>
        <v>#REF!</v>
      </c>
      <c r="BE30" s="247" t="e">
        <f>IF(B30&lt;&gt;"",VLOOKUP(B30,'[9]IRR MES'!$C$5:$AK$600,15),"")</f>
        <v>#REF!</v>
      </c>
      <c r="BF30" s="181" t="e">
        <f>IF(B30&lt;&gt;"",VLOOKUP(B30,'[9]IRR MES'!$C$5:$AK$600,17),"")</f>
        <v>#REF!</v>
      </c>
      <c r="BG30" s="247" t="e">
        <f>IF(B30&lt;&gt;"",VLOOKUP(B30,'[9]IRR MES'!$C$5:$AK$600,18),"")</f>
        <v>#REF!</v>
      </c>
      <c r="BH30" s="181" t="e">
        <f>IF(B30&lt;&gt;"",VLOOKUP(B30,'[9]IRR MES'!$C$5:$AK$600,20),"")</f>
        <v>#REF!</v>
      </c>
      <c r="BI30" s="247" t="e">
        <f>IF(B30&lt;&gt;"",VLOOKUP(B30,'[9]IRR MES'!$C$5:$AK$600,21),"")</f>
        <v>#REF!</v>
      </c>
      <c r="BJ30" s="181" t="e">
        <f>IF(B30&lt;&gt;"",VLOOKUP(B30,'[9]IRR MES'!$C$5:$AK$600,23),"")</f>
        <v>#REF!</v>
      </c>
      <c r="BK30" s="247" t="e">
        <f>IF(B30&lt;&gt;"",VLOOKUP(B30,'[9]IRR MES'!$C$5:$AK$600,24),"")</f>
        <v>#REF!</v>
      </c>
      <c r="BL30" s="181" t="e">
        <f>IF(B30&lt;&gt;"",VLOOKUP(B30,'[9]IRR MES'!$C$5:$AK$600,26),"")</f>
        <v>#REF!</v>
      </c>
      <c r="BM30" s="247" t="e">
        <f>IF(B30&lt;&gt;"",VLOOKUP(B30,'[9]IRR MES'!$C$5:$AK$600,27),"")</f>
        <v>#REF!</v>
      </c>
      <c r="BN30" s="181" t="e">
        <f>IF(B30&lt;&gt;"",VLOOKUP(B30,'[9]IRR MES'!$C$5:$AK$600,29),"")</f>
        <v>#REF!</v>
      </c>
      <c r="BO30" s="247" t="e">
        <f>IF(B30&lt;&gt;"",VLOOKUP(B30,'[9]IRR MES'!$C$5:$AK$600,30),"")</f>
        <v>#REF!</v>
      </c>
      <c r="BP30" s="181" t="e">
        <f>IF(B30&lt;&gt;"",VLOOKUP(B30,'[9]IRR MES'!$C$5:$AK$600,32),"")</f>
        <v>#REF!</v>
      </c>
      <c r="BQ30" s="181" t="e">
        <f>IF(B30&lt;&gt;"",VLOOKUP(B30,'[9]IRR MES'!$C$5:$AK$600,33),"")</f>
        <v>#REF!</v>
      </c>
      <c r="BR30" s="181" t="e">
        <f t="shared" si="27"/>
        <v>#REF!</v>
      </c>
      <c r="BS30" s="181" t="e">
        <f>IF(B30&lt;&gt;"",VLOOKUP(B30,'[9]IRR MES'!$C$5:$AK$600,34),"")</f>
        <v>#REF!</v>
      </c>
      <c r="BT30" s="248" t="e">
        <f>IF(B30&lt;&gt;"",VLOOKUP(B30,'[9]IRR MES'!$C$1:$AK$600,4),"")</f>
        <v>#REF!</v>
      </c>
      <c r="BU30" s="248" t="e">
        <f>IF(B30&lt;&gt;"",VLOOKUP(B30,'[9]IRR MES'!$C$1:$AK$600,7),"")</f>
        <v>#REF!</v>
      </c>
      <c r="BV30" s="248" t="e">
        <f>IF(B30&lt;&gt;"",VLOOKUP(B30,'[9]IRR MES'!$C$1:$AK$600,10),"")</f>
        <v>#REF!</v>
      </c>
      <c r="BW30" s="248" t="e">
        <f>IF(B30&lt;&gt;"",VLOOKUP(B30,'[9]IRR MES'!$C$1:$AK$600,13),"")</f>
        <v>#REF!</v>
      </c>
      <c r="BX30" s="248" t="e">
        <f>IF(B30&lt;&gt;"",VLOOKUP(B30,'[9]IRR MES'!$C$1:$AK$600,16),"")</f>
        <v>#REF!</v>
      </c>
      <c r="BY30" s="248" t="e">
        <f>IF(B30&lt;&gt;"",VLOOKUP(B30,'[9]IRR MES'!$C$1:$AK$600,19),"")</f>
        <v>#REF!</v>
      </c>
      <c r="BZ30" s="248" t="e">
        <f>IF(B30&lt;&gt;"",VLOOKUP(B30,'[9]IRR MES'!$C$1:$AK$600,22),"")</f>
        <v>#REF!</v>
      </c>
      <c r="CA30" s="248" t="e">
        <f>IF(B30&lt;&gt;"",VLOOKUP(B30,'[9]IRR MES'!$C$1:$AK$600,25),"")</f>
        <v>#REF!</v>
      </c>
      <c r="CB30" s="248" t="e">
        <f>IF(B30&lt;&gt;"",VLOOKUP(B30,'[9]IRR MES'!$C$1:$AK$600,28),"")</f>
        <v>#REF!</v>
      </c>
      <c r="CC30" s="248" t="e">
        <f>IF(B30&lt;&gt;"",VLOOKUP(B30,'[9]IRR MES'!$C$1:$AK$600,31),"")</f>
        <v>#REF!</v>
      </c>
      <c r="CD30" s="249" t="e">
        <f>#REF!</f>
        <v>#REF!</v>
      </c>
    </row>
    <row r="31" spans="1:82" x14ac:dyDescent="0.2">
      <c r="A31" s="10" t="e">
        <f t="shared" si="2"/>
        <v>#REF!</v>
      </c>
      <c r="B31" s="50" t="e">
        <f>#REF!</f>
        <v>#REF!</v>
      </c>
      <c r="C31" s="38">
        <f>'LEVANTAMENTO DADOS'!B29</f>
        <v>3178.35</v>
      </c>
      <c r="D31" s="63" t="e">
        <f>'BASE DE CALCULO IR'!W31</f>
        <v>#REF!</v>
      </c>
      <c r="E31" s="63"/>
      <c r="F31" s="60"/>
      <c r="G31" s="63"/>
      <c r="H31" s="63"/>
      <c r="I31" s="63"/>
      <c r="J31" s="63"/>
      <c r="K31" s="61"/>
      <c r="L31" s="61"/>
      <c r="M31" s="61"/>
      <c r="N31" s="60"/>
      <c r="O31" s="60"/>
      <c r="P31" s="60"/>
      <c r="Q31" s="62"/>
      <c r="R31" s="62" t="e">
        <f t="shared" si="3"/>
        <v>#REF!</v>
      </c>
      <c r="S31" s="63" t="e">
        <f t="shared" si="4"/>
        <v>#REF!</v>
      </c>
      <c r="T31" s="250"/>
      <c r="U31" s="63" t="e">
        <f t="shared" si="5"/>
        <v>#REF!</v>
      </c>
      <c r="V31" s="63" t="e">
        <f>#REF!</f>
        <v>#REF!</v>
      </c>
      <c r="W31" s="63" t="e">
        <f t="shared" si="6"/>
        <v>#REF!</v>
      </c>
      <c r="X31" s="242" t="e">
        <f t="shared" si="7"/>
        <v>#REF!</v>
      </c>
      <c r="Y31" s="34" t="e">
        <f t="shared" si="28"/>
        <v>#REF!</v>
      </c>
      <c r="Z31" s="34" t="e">
        <f t="shared" si="8"/>
        <v>#REF!</v>
      </c>
      <c r="AA31" s="176" t="e">
        <f t="shared" si="9"/>
        <v>#REF!</v>
      </c>
      <c r="AB31" s="11" t="e">
        <f t="shared" si="10"/>
        <v>#REF!</v>
      </c>
      <c r="AC31" s="245" t="e">
        <f t="shared" si="11"/>
        <v>#REF!</v>
      </c>
      <c r="AD31" s="245" t="e">
        <f t="shared" si="12"/>
        <v>#REF!</v>
      </c>
      <c r="AE31" s="245"/>
      <c r="AF31" s="245" t="e">
        <f t="shared" si="13"/>
        <v>#REF!</v>
      </c>
      <c r="AG31" s="173" t="e">
        <f t="shared" si="14"/>
        <v>#REF!</v>
      </c>
      <c r="AH31" s="51" t="e">
        <f t="shared" si="15"/>
        <v>#REF!</v>
      </c>
      <c r="AI31" s="63" t="e">
        <f>IF(B31&lt;&gt;"",VLOOKUP(B31,'[9]IRR MES'!$C$15:$AK$600,32),"")</f>
        <v>#REF!</v>
      </c>
      <c r="AJ31" s="246" t="e">
        <f t="shared" si="16"/>
        <v>#REF!</v>
      </c>
      <c r="AK31" s="181" t="e">
        <f t="shared" si="17"/>
        <v>#REF!</v>
      </c>
      <c r="AL31" s="181" t="e">
        <f t="shared" si="18"/>
        <v>#REF!</v>
      </c>
      <c r="AM31" s="181" t="e">
        <f t="shared" si="19"/>
        <v>#REF!</v>
      </c>
      <c r="AN31" s="181" t="e">
        <f t="shared" si="20"/>
        <v>#REF!</v>
      </c>
      <c r="AO31" s="181" t="e">
        <f t="shared" si="21"/>
        <v>#REF!</v>
      </c>
      <c r="AP31" s="181" t="e">
        <f t="shared" si="22"/>
        <v>#REF!</v>
      </c>
      <c r="AQ31" s="181" t="e">
        <f t="shared" si="23"/>
        <v>#REF!</v>
      </c>
      <c r="AR31" s="181" t="e">
        <f t="shared" si="24"/>
        <v>#REF!</v>
      </c>
      <c r="AS31" s="181" t="e">
        <f t="shared" si="25"/>
        <v>#REF!</v>
      </c>
      <c r="AT31" s="181" t="e">
        <f t="shared" si="26"/>
        <v>#REF!</v>
      </c>
      <c r="AU31" s="181"/>
      <c r="AV31" s="63"/>
      <c r="AW31" s="181" t="e">
        <f>IF(B31&lt;&gt;"",VLOOKUP(B31,'[9]IRR MES'!$C$5:$AK$600,2),"")</f>
        <v>#REF!</v>
      </c>
      <c r="AX31" s="247" t="e">
        <f>IF(B31&lt;&gt;"",VLOOKUP(B31,'[9]IRR MES'!$C$5:$AK$600,3),"")</f>
        <v>#REF!</v>
      </c>
      <c r="AY31" s="181" t="e">
        <f>IF(B31&lt;&gt;"",VLOOKUP(B31,'[9]IRR MES'!$C$5:$AK$600,5),"")</f>
        <v>#REF!</v>
      </c>
      <c r="AZ31" s="247" t="e">
        <f>IF(B31&lt;&gt;"",VLOOKUP(B31,'[9]IRR MES'!$C$5:$AK$600,6),"")</f>
        <v>#REF!</v>
      </c>
      <c r="BA31" s="181" t="e">
        <f>IF(B31&lt;&gt;"",VLOOKUP(B31,'[9]IRR MES'!$C$5:$AK$600,8),"")</f>
        <v>#REF!</v>
      </c>
      <c r="BB31" s="247" t="e">
        <f>IF(B31&lt;&gt;"",VLOOKUP(B31,'[9]IRR MES'!$C$5:$AK$600,9),"")</f>
        <v>#REF!</v>
      </c>
      <c r="BC31" s="247" t="e">
        <f>IF(B31&lt;&gt;"",VLOOKUP(B31,'[9]IRR MES'!$C$5:$AK$600,12),"")</f>
        <v>#REF!</v>
      </c>
      <c r="BD31" s="181" t="e">
        <f>IF(B31&lt;&gt;"",VLOOKUP(B31,'[9]IRR MES'!$C$5:$AK$600,14),"")</f>
        <v>#REF!</v>
      </c>
      <c r="BE31" s="247" t="e">
        <f>IF(B31&lt;&gt;"",VLOOKUP(B31,'[9]IRR MES'!$C$5:$AK$600,15),"")</f>
        <v>#REF!</v>
      </c>
      <c r="BF31" s="181" t="e">
        <f>IF(B31&lt;&gt;"",VLOOKUP(B31,'[9]IRR MES'!$C$5:$AK$600,17),"")</f>
        <v>#REF!</v>
      </c>
      <c r="BG31" s="247" t="e">
        <f>IF(B31&lt;&gt;"",VLOOKUP(B31,'[9]IRR MES'!$C$5:$AK$600,18),"")</f>
        <v>#REF!</v>
      </c>
      <c r="BH31" s="181" t="e">
        <f>IF(B31&lt;&gt;"",VLOOKUP(B31,'[9]IRR MES'!$C$5:$AK$600,20),"")</f>
        <v>#REF!</v>
      </c>
      <c r="BI31" s="247" t="e">
        <f>IF(B31&lt;&gt;"",VLOOKUP(B31,'[9]IRR MES'!$C$5:$AK$600,21),"")</f>
        <v>#REF!</v>
      </c>
      <c r="BJ31" s="181" t="e">
        <f>IF(B31&lt;&gt;"",VLOOKUP(B31,'[9]IRR MES'!$C$5:$AK$600,23),"")</f>
        <v>#REF!</v>
      </c>
      <c r="BK31" s="247" t="e">
        <f>IF(B31&lt;&gt;"",VLOOKUP(B31,'[9]IRR MES'!$C$5:$AK$600,24),"")</f>
        <v>#REF!</v>
      </c>
      <c r="BL31" s="181" t="e">
        <f>IF(B31&lt;&gt;"",VLOOKUP(B31,'[9]IRR MES'!$C$5:$AK$600,26),"")</f>
        <v>#REF!</v>
      </c>
      <c r="BM31" s="247" t="e">
        <f>IF(B31&lt;&gt;"",VLOOKUP(B31,'[9]IRR MES'!$C$5:$AK$600,27),"")</f>
        <v>#REF!</v>
      </c>
      <c r="BN31" s="181" t="e">
        <f>IF(B31&lt;&gt;"",VLOOKUP(B31,'[9]IRR MES'!$C$5:$AK$600,29),"")</f>
        <v>#REF!</v>
      </c>
      <c r="BO31" s="247" t="e">
        <f>IF(B31&lt;&gt;"",VLOOKUP(B31,'[9]IRR MES'!$C$5:$AK$600,30),"")</f>
        <v>#REF!</v>
      </c>
      <c r="BP31" s="181" t="e">
        <f>IF(B31&lt;&gt;"",VLOOKUP(B31,'[9]IRR MES'!$C$5:$AK$600,32),"")</f>
        <v>#REF!</v>
      </c>
      <c r="BQ31" s="181" t="e">
        <f>IF(B31&lt;&gt;"",VLOOKUP(B31,'[9]IRR MES'!$C$5:$AK$600,33),"")</f>
        <v>#REF!</v>
      </c>
      <c r="BR31" s="181" t="e">
        <f t="shared" si="27"/>
        <v>#REF!</v>
      </c>
      <c r="BS31" s="181" t="e">
        <f>IF(B31&lt;&gt;"",VLOOKUP(B31,'[9]IRR MES'!$C$5:$AK$600,34),"")</f>
        <v>#REF!</v>
      </c>
      <c r="BT31" s="248" t="e">
        <f>IF(B31&lt;&gt;"",VLOOKUP(B31,'[9]IRR MES'!$C$1:$AK$600,4),"")</f>
        <v>#REF!</v>
      </c>
      <c r="BU31" s="248" t="e">
        <f>IF(B31&lt;&gt;"",VLOOKUP(B31,'[9]IRR MES'!$C$1:$AK$600,7),"")</f>
        <v>#REF!</v>
      </c>
      <c r="BV31" s="248" t="e">
        <f>IF(B31&lt;&gt;"",VLOOKUP(B31,'[9]IRR MES'!$C$1:$AK$600,10),"")</f>
        <v>#REF!</v>
      </c>
      <c r="BW31" s="248" t="e">
        <f>IF(B31&lt;&gt;"",VLOOKUP(B31,'[9]IRR MES'!$C$1:$AK$600,13),"")</f>
        <v>#REF!</v>
      </c>
      <c r="BX31" s="248" t="e">
        <f>IF(B31&lt;&gt;"",VLOOKUP(B31,'[9]IRR MES'!$C$1:$AK$600,16),"")</f>
        <v>#REF!</v>
      </c>
      <c r="BY31" s="248" t="e">
        <f>IF(B31&lt;&gt;"",VLOOKUP(B31,'[9]IRR MES'!$C$1:$AK$600,19),"")</f>
        <v>#REF!</v>
      </c>
      <c r="BZ31" s="248" t="e">
        <f>IF(B31&lt;&gt;"",VLOOKUP(B31,'[9]IRR MES'!$C$1:$AK$600,22),"")</f>
        <v>#REF!</v>
      </c>
      <c r="CA31" s="248" t="e">
        <f>IF(B31&lt;&gt;"",VLOOKUP(B31,'[9]IRR MES'!$C$1:$AK$600,25),"")</f>
        <v>#REF!</v>
      </c>
      <c r="CB31" s="248" t="e">
        <f>IF(B31&lt;&gt;"",VLOOKUP(B31,'[9]IRR MES'!$C$1:$AK$600,28),"")</f>
        <v>#REF!</v>
      </c>
      <c r="CC31" s="248" t="e">
        <f>IF(B31&lt;&gt;"",VLOOKUP(B31,'[9]IRR MES'!$C$1:$AK$600,31),"")</f>
        <v>#REF!</v>
      </c>
      <c r="CD31" s="249" t="e">
        <f>#REF!</f>
        <v>#REF!</v>
      </c>
    </row>
    <row r="32" spans="1:82" x14ac:dyDescent="0.2">
      <c r="A32" s="10" t="e">
        <f t="shared" si="2"/>
        <v>#REF!</v>
      </c>
      <c r="B32" s="50" t="e">
        <f>#REF!</f>
        <v>#REF!</v>
      </c>
      <c r="C32" s="38">
        <f>'LEVANTAMENTO DADOS'!B30</f>
        <v>3184.44</v>
      </c>
      <c r="D32" s="63" t="e">
        <f>'BASE DE CALCULO IR'!W32</f>
        <v>#REF!</v>
      </c>
      <c r="E32" s="63"/>
      <c r="F32" s="60"/>
      <c r="G32" s="63"/>
      <c r="H32" s="63"/>
      <c r="I32" s="63"/>
      <c r="J32" s="63"/>
      <c r="K32" s="61"/>
      <c r="L32" s="61"/>
      <c r="M32" s="61"/>
      <c r="N32" s="60"/>
      <c r="O32" s="60"/>
      <c r="P32" s="60"/>
      <c r="Q32" s="62"/>
      <c r="R32" s="62" t="e">
        <f t="shared" si="3"/>
        <v>#REF!</v>
      </c>
      <c r="S32" s="63" t="e">
        <f t="shared" si="4"/>
        <v>#REF!</v>
      </c>
      <c r="T32" s="250"/>
      <c r="U32" s="63" t="e">
        <f t="shared" si="5"/>
        <v>#REF!</v>
      </c>
      <c r="V32" s="63" t="e">
        <f>#REF!</f>
        <v>#REF!</v>
      </c>
      <c r="W32" s="63" t="e">
        <f t="shared" si="6"/>
        <v>#REF!</v>
      </c>
      <c r="X32" s="242" t="e">
        <f t="shared" si="7"/>
        <v>#REF!</v>
      </c>
      <c r="Y32" s="34" t="e">
        <f t="shared" si="28"/>
        <v>#REF!</v>
      </c>
      <c r="Z32" s="34" t="e">
        <f t="shared" si="8"/>
        <v>#REF!</v>
      </c>
      <c r="AA32" s="176" t="e">
        <f t="shared" si="9"/>
        <v>#REF!</v>
      </c>
      <c r="AB32" s="11" t="e">
        <f t="shared" si="10"/>
        <v>#REF!</v>
      </c>
      <c r="AC32" s="245" t="e">
        <f t="shared" si="11"/>
        <v>#REF!</v>
      </c>
      <c r="AD32" s="245" t="e">
        <f t="shared" si="12"/>
        <v>#REF!</v>
      </c>
      <c r="AE32" s="245"/>
      <c r="AF32" s="245" t="e">
        <f t="shared" si="13"/>
        <v>#REF!</v>
      </c>
      <c r="AG32" s="173" t="e">
        <f t="shared" si="14"/>
        <v>#REF!</v>
      </c>
      <c r="AH32" s="51" t="e">
        <f t="shared" si="15"/>
        <v>#REF!</v>
      </c>
      <c r="AI32" s="63" t="e">
        <f>IF(B32&lt;&gt;"",VLOOKUP(B32,'[9]IRR MES'!$C$15:$AK$600,32),"")</f>
        <v>#REF!</v>
      </c>
      <c r="AJ32" s="246" t="e">
        <f t="shared" si="16"/>
        <v>#REF!</v>
      </c>
      <c r="AK32" s="181" t="e">
        <f t="shared" si="17"/>
        <v>#REF!</v>
      </c>
      <c r="AL32" s="181" t="e">
        <f t="shared" si="18"/>
        <v>#REF!</v>
      </c>
      <c r="AM32" s="181" t="e">
        <f t="shared" si="19"/>
        <v>#REF!</v>
      </c>
      <c r="AN32" s="181" t="e">
        <f t="shared" si="20"/>
        <v>#REF!</v>
      </c>
      <c r="AO32" s="181" t="e">
        <f t="shared" si="21"/>
        <v>#REF!</v>
      </c>
      <c r="AP32" s="181" t="e">
        <f t="shared" si="22"/>
        <v>#REF!</v>
      </c>
      <c r="AQ32" s="181" t="e">
        <f t="shared" si="23"/>
        <v>#REF!</v>
      </c>
      <c r="AR32" s="181" t="e">
        <f t="shared" si="24"/>
        <v>#REF!</v>
      </c>
      <c r="AS32" s="181" t="e">
        <f t="shared" si="25"/>
        <v>#REF!</v>
      </c>
      <c r="AT32" s="181" t="e">
        <f t="shared" si="26"/>
        <v>#REF!</v>
      </c>
      <c r="AU32" s="181"/>
      <c r="AV32" s="63"/>
      <c r="AW32" s="181" t="e">
        <f>IF(B32&lt;&gt;"",VLOOKUP(B32,'[9]IRR MES'!$C$5:$AK$600,2),"")</f>
        <v>#REF!</v>
      </c>
      <c r="AX32" s="247" t="e">
        <f>IF(B32&lt;&gt;"",VLOOKUP(B32,'[9]IRR MES'!$C$5:$AK$600,3),"")</f>
        <v>#REF!</v>
      </c>
      <c r="AY32" s="181" t="e">
        <f>IF(B32&lt;&gt;"",VLOOKUP(B32,'[9]IRR MES'!$C$5:$AK$600,5),"")</f>
        <v>#REF!</v>
      </c>
      <c r="AZ32" s="247" t="e">
        <f>IF(B32&lt;&gt;"",VLOOKUP(B32,'[9]IRR MES'!$C$5:$AK$600,6),"")</f>
        <v>#REF!</v>
      </c>
      <c r="BA32" s="181" t="e">
        <f>IF(B32&lt;&gt;"",VLOOKUP(B32,'[9]IRR MES'!$C$5:$AK$600,8),"")</f>
        <v>#REF!</v>
      </c>
      <c r="BB32" s="247" t="e">
        <f>IF(B32&lt;&gt;"",VLOOKUP(B32,'[9]IRR MES'!$C$5:$AK$600,9),"")</f>
        <v>#REF!</v>
      </c>
      <c r="BC32" s="247" t="e">
        <f>IF(B32&lt;&gt;"",VLOOKUP(B32,'[9]IRR MES'!$C$5:$AK$600,12),"")</f>
        <v>#REF!</v>
      </c>
      <c r="BD32" s="181" t="e">
        <f>IF(B32&lt;&gt;"",VLOOKUP(B32,'[9]IRR MES'!$C$5:$AK$600,14),"")</f>
        <v>#REF!</v>
      </c>
      <c r="BE32" s="247" t="e">
        <f>IF(B32&lt;&gt;"",VLOOKUP(B32,'[9]IRR MES'!$C$5:$AK$600,15),"")</f>
        <v>#REF!</v>
      </c>
      <c r="BF32" s="181" t="e">
        <f>IF(B32&lt;&gt;"",VLOOKUP(B32,'[9]IRR MES'!$C$5:$AK$600,17),"")</f>
        <v>#REF!</v>
      </c>
      <c r="BG32" s="247" t="e">
        <f>IF(B32&lt;&gt;"",VLOOKUP(B32,'[9]IRR MES'!$C$5:$AK$600,18),"")</f>
        <v>#REF!</v>
      </c>
      <c r="BH32" s="181" t="e">
        <f>IF(B32&lt;&gt;"",VLOOKUP(B32,'[9]IRR MES'!$C$5:$AK$600,20),"")</f>
        <v>#REF!</v>
      </c>
      <c r="BI32" s="247" t="e">
        <f>IF(B32&lt;&gt;"",VLOOKUP(B32,'[9]IRR MES'!$C$5:$AK$600,21),"")</f>
        <v>#REF!</v>
      </c>
      <c r="BJ32" s="181" t="e">
        <f>IF(B32&lt;&gt;"",VLOOKUP(B32,'[9]IRR MES'!$C$5:$AK$600,23),"")</f>
        <v>#REF!</v>
      </c>
      <c r="BK32" s="247" t="e">
        <f>IF(B32&lt;&gt;"",VLOOKUP(B32,'[9]IRR MES'!$C$5:$AK$600,24),"")</f>
        <v>#REF!</v>
      </c>
      <c r="BL32" s="181" t="e">
        <f>IF(B32&lt;&gt;"",VLOOKUP(B32,'[9]IRR MES'!$C$5:$AK$600,26),"")</f>
        <v>#REF!</v>
      </c>
      <c r="BM32" s="247" t="e">
        <f>IF(B32&lt;&gt;"",VLOOKUP(B32,'[9]IRR MES'!$C$5:$AK$600,27),"")</f>
        <v>#REF!</v>
      </c>
      <c r="BN32" s="181" t="e">
        <f>IF(B32&lt;&gt;"",VLOOKUP(B32,'[9]IRR MES'!$C$5:$AK$600,29),"")</f>
        <v>#REF!</v>
      </c>
      <c r="BO32" s="247" t="e">
        <f>IF(B32&lt;&gt;"",VLOOKUP(B32,'[9]IRR MES'!$C$5:$AK$600,30),"")</f>
        <v>#REF!</v>
      </c>
      <c r="BP32" s="181" t="e">
        <f>IF(B32&lt;&gt;"",VLOOKUP(B32,'[9]IRR MES'!$C$5:$AK$600,32),"")</f>
        <v>#REF!</v>
      </c>
      <c r="BQ32" s="181" t="e">
        <f>IF(B32&lt;&gt;"",VLOOKUP(B32,'[9]IRR MES'!$C$5:$AK$600,33),"")</f>
        <v>#REF!</v>
      </c>
      <c r="BR32" s="181" t="e">
        <f t="shared" si="27"/>
        <v>#REF!</v>
      </c>
      <c r="BS32" s="181" t="e">
        <f>IF(B32&lt;&gt;"",VLOOKUP(B32,'[9]IRR MES'!$C$5:$AK$600,34),"")</f>
        <v>#REF!</v>
      </c>
      <c r="BT32" s="248" t="e">
        <f>IF(B32&lt;&gt;"",VLOOKUP(B32,'[9]IRR MES'!$C$1:$AK$600,4),"")</f>
        <v>#REF!</v>
      </c>
      <c r="BU32" s="248" t="e">
        <f>IF(B32&lt;&gt;"",VLOOKUP(B32,'[9]IRR MES'!$C$1:$AK$600,7),"")</f>
        <v>#REF!</v>
      </c>
      <c r="BV32" s="248" t="e">
        <f>IF(B32&lt;&gt;"",VLOOKUP(B32,'[9]IRR MES'!$C$1:$AK$600,10),"")</f>
        <v>#REF!</v>
      </c>
      <c r="BW32" s="248" t="e">
        <f>IF(B32&lt;&gt;"",VLOOKUP(B32,'[9]IRR MES'!$C$1:$AK$600,13),"")</f>
        <v>#REF!</v>
      </c>
      <c r="BX32" s="248" t="e">
        <f>IF(B32&lt;&gt;"",VLOOKUP(B32,'[9]IRR MES'!$C$1:$AK$600,16),"")</f>
        <v>#REF!</v>
      </c>
      <c r="BY32" s="248" t="e">
        <f>IF(B32&lt;&gt;"",VLOOKUP(B32,'[9]IRR MES'!$C$1:$AK$600,19),"")</f>
        <v>#REF!</v>
      </c>
      <c r="BZ32" s="248" t="e">
        <f>IF(B32&lt;&gt;"",VLOOKUP(B32,'[9]IRR MES'!$C$1:$AK$600,22),"")</f>
        <v>#REF!</v>
      </c>
      <c r="CA32" s="248" t="e">
        <f>IF(B32&lt;&gt;"",VLOOKUP(B32,'[9]IRR MES'!$C$1:$AK$600,25),"")</f>
        <v>#REF!</v>
      </c>
      <c r="CB32" s="248" t="e">
        <f>IF(B32&lt;&gt;"",VLOOKUP(B32,'[9]IRR MES'!$C$1:$AK$600,28),"")</f>
        <v>#REF!</v>
      </c>
      <c r="CC32" s="248" t="e">
        <f>IF(B32&lt;&gt;"",VLOOKUP(B32,'[9]IRR MES'!$C$1:$AK$600,31),"")</f>
        <v>#REF!</v>
      </c>
      <c r="CD32" s="249" t="e">
        <f>#REF!</f>
        <v>#REF!</v>
      </c>
    </row>
    <row r="33" spans="1:82" x14ac:dyDescent="0.2">
      <c r="A33" s="10" t="e">
        <f t="shared" si="2"/>
        <v>#REF!</v>
      </c>
      <c r="B33" s="50" t="e">
        <f>#REF!</f>
        <v>#REF!</v>
      </c>
      <c r="C33" s="38">
        <f>'LEVANTAMENTO DADOS'!B31</f>
        <v>3970.97</v>
      </c>
      <c r="D33" s="63" t="e">
        <f>'BASE DE CALCULO IR'!W33</f>
        <v>#REF!</v>
      </c>
      <c r="E33" s="63"/>
      <c r="F33" s="60"/>
      <c r="G33" s="63"/>
      <c r="H33" s="63"/>
      <c r="I33" s="63"/>
      <c r="J33" s="63"/>
      <c r="K33" s="61"/>
      <c r="L33" s="61"/>
      <c r="M33" s="61"/>
      <c r="N33" s="60"/>
      <c r="O33" s="60"/>
      <c r="P33" s="60"/>
      <c r="Q33" s="62"/>
      <c r="R33" s="62" t="e">
        <f t="shared" si="3"/>
        <v>#REF!</v>
      </c>
      <c r="S33" s="63" t="e">
        <f t="shared" si="4"/>
        <v>#REF!</v>
      </c>
      <c r="T33" s="250"/>
      <c r="U33" s="63" t="e">
        <f t="shared" si="5"/>
        <v>#REF!</v>
      </c>
      <c r="V33" s="63" t="e">
        <f>#REF!</f>
        <v>#REF!</v>
      </c>
      <c r="W33" s="63" t="e">
        <f t="shared" si="6"/>
        <v>#REF!</v>
      </c>
      <c r="X33" s="242" t="e">
        <f t="shared" si="7"/>
        <v>#REF!</v>
      </c>
      <c r="Y33" s="34" t="e">
        <f t="shared" si="28"/>
        <v>#REF!</v>
      </c>
      <c r="Z33" s="34" t="e">
        <f t="shared" si="8"/>
        <v>#REF!</v>
      </c>
      <c r="AA33" s="176" t="e">
        <f t="shared" si="9"/>
        <v>#REF!</v>
      </c>
      <c r="AB33" s="11" t="e">
        <f t="shared" si="10"/>
        <v>#REF!</v>
      </c>
      <c r="AC33" s="245" t="e">
        <f t="shared" si="11"/>
        <v>#REF!</v>
      </c>
      <c r="AD33" s="245" t="e">
        <f t="shared" si="12"/>
        <v>#REF!</v>
      </c>
      <c r="AE33" s="245"/>
      <c r="AF33" s="245" t="e">
        <f t="shared" si="13"/>
        <v>#REF!</v>
      </c>
      <c r="AG33" s="173" t="e">
        <f t="shared" si="14"/>
        <v>#REF!</v>
      </c>
      <c r="AH33" s="51" t="e">
        <f t="shared" si="15"/>
        <v>#REF!</v>
      </c>
      <c r="AI33" s="63" t="e">
        <f>IF(B33&lt;&gt;"",VLOOKUP(B33,'[9]IRR MES'!$C$15:$AK$600,32),"")</f>
        <v>#REF!</v>
      </c>
      <c r="AJ33" s="246" t="e">
        <f t="shared" si="16"/>
        <v>#REF!</v>
      </c>
      <c r="AK33" s="181" t="e">
        <f t="shared" si="17"/>
        <v>#REF!</v>
      </c>
      <c r="AL33" s="181" t="e">
        <f t="shared" si="18"/>
        <v>#REF!</v>
      </c>
      <c r="AM33" s="181" t="e">
        <f t="shared" si="19"/>
        <v>#REF!</v>
      </c>
      <c r="AN33" s="181" t="e">
        <f t="shared" si="20"/>
        <v>#REF!</v>
      </c>
      <c r="AO33" s="181" t="e">
        <f t="shared" si="21"/>
        <v>#REF!</v>
      </c>
      <c r="AP33" s="181" t="e">
        <f t="shared" si="22"/>
        <v>#REF!</v>
      </c>
      <c r="AQ33" s="181" t="e">
        <f t="shared" si="23"/>
        <v>#REF!</v>
      </c>
      <c r="AR33" s="181" t="e">
        <f t="shared" si="24"/>
        <v>#REF!</v>
      </c>
      <c r="AS33" s="181" t="e">
        <f t="shared" si="25"/>
        <v>#REF!</v>
      </c>
      <c r="AT33" s="181" t="e">
        <f t="shared" si="26"/>
        <v>#REF!</v>
      </c>
      <c r="AU33" s="181"/>
      <c r="AV33" s="63"/>
      <c r="AW33" s="181" t="e">
        <f>IF(B33&lt;&gt;"",VLOOKUP(B33,'[9]IRR MES'!$C$5:$AK$600,2),"")</f>
        <v>#REF!</v>
      </c>
      <c r="AX33" s="247" t="e">
        <f>IF(B33&lt;&gt;"",VLOOKUP(B33,'[9]IRR MES'!$C$5:$AK$600,3),"")</f>
        <v>#REF!</v>
      </c>
      <c r="AY33" s="181" t="e">
        <f>IF(B33&lt;&gt;"",VLOOKUP(B33,'[9]IRR MES'!$C$5:$AK$600,5),"")</f>
        <v>#REF!</v>
      </c>
      <c r="AZ33" s="247" t="e">
        <f>IF(B33&lt;&gt;"",VLOOKUP(B33,'[9]IRR MES'!$C$5:$AK$600,6),"")</f>
        <v>#REF!</v>
      </c>
      <c r="BA33" s="181" t="e">
        <f>IF(B33&lt;&gt;"",VLOOKUP(B33,'[9]IRR MES'!$C$5:$AK$600,8),"")</f>
        <v>#REF!</v>
      </c>
      <c r="BB33" s="247" t="e">
        <f>IF(B33&lt;&gt;"",VLOOKUP(B33,'[9]IRR MES'!$C$5:$AK$600,9),"")</f>
        <v>#REF!</v>
      </c>
      <c r="BC33" s="247" t="e">
        <f>IF(B33&lt;&gt;"",VLOOKUP(B33,'[9]IRR MES'!$C$5:$AK$600,12),"")</f>
        <v>#REF!</v>
      </c>
      <c r="BD33" s="181" t="e">
        <f>IF(B33&lt;&gt;"",VLOOKUP(B33,'[9]IRR MES'!$C$5:$AK$600,14),"")</f>
        <v>#REF!</v>
      </c>
      <c r="BE33" s="247" t="e">
        <f>IF(B33&lt;&gt;"",VLOOKUP(B33,'[9]IRR MES'!$C$5:$AK$600,15),"")</f>
        <v>#REF!</v>
      </c>
      <c r="BF33" s="181" t="e">
        <f>IF(B33&lt;&gt;"",VLOOKUP(B33,'[9]IRR MES'!$C$5:$AK$600,17),"")</f>
        <v>#REF!</v>
      </c>
      <c r="BG33" s="247" t="e">
        <f>IF(B33&lt;&gt;"",VLOOKUP(B33,'[9]IRR MES'!$C$5:$AK$600,18),"")</f>
        <v>#REF!</v>
      </c>
      <c r="BH33" s="181" t="e">
        <f>IF(B33&lt;&gt;"",VLOOKUP(B33,'[9]IRR MES'!$C$5:$AK$600,20),"")</f>
        <v>#REF!</v>
      </c>
      <c r="BI33" s="247" t="e">
        <f>IF(B33&lt;&gt;"",VLOOKUP(B33,'[9]IRR MES'!$C$5:$AK$600,21),"")</f>
        <v>#REF!</v>
      </c>
      <c r="BJ33" s="181" t="e">
        <f>IF(B33&lt;&gt;"",VLOOKUP(B33,'[9]IRR MES'!$C$5:$AK$600,23),"")</f>
        <v>#REF!</v>
      </c>
      <c r="BK33" s="247" t="e">
        <f>IF(B33&lt;&gt;"",VLOOKUP(B33,'[9]IRR MES'!$C$5:$AK$600,24),"")</f>
        <v>#REF!</v>
      </c>
      <c r="BL33" s="181" t="e">
        <f>IF(B33&lt;&gt;"",VLOOKUP(B33,'[9]IRR MES'!$C$5:$AK$600,26),"")</f>
        <v>#REF!</v>
      </c>
      <c r="BM33" s="247" t="e">
        <f>IF(B33&lt;&gt;"",VLOOKUP(B33,'[9]IRR MES'!$C$5:$AK$600,27),"")</f>
        <v>#REF!</v>
      </c>
      <c r="BN33" s="181" t="e">
        <f>IF(B33&lt;&gt;"",VLOOKUP(B33,'[9]IRR MES'!$C$5:$AK$600,29),"")</f>
        <v>#REF!</v>
      </c>
      <c r="BO33" s="247" t="e">
        <f>IF(B33&lt;&gt;"",VLOOKUP(B33,'[9]IRR MES'!$C$5:$AK$600,30),"")</f>
        <v>#REF!</v>
      </c>
      <c r="BP33" s="181" t="e">
        <f>IF(B33&lt;&gt;"",VLOOKUP(B33,'[9]IRR MES'!$C$5:$AK$600,32),"")</f>
        <v>#REF!</v>
      </c>
      <c r="BQ33" s="181" t="e">
        <f>IF(B33&lt;&gt;"",VLOOKUP(B33,'[9]IRR MES'!$C$5:$AK$600,33),"")</f>
        <v>#REF!</v>
      </c>
      <c r="BR33" s="181" t="e">
        <f t="shared" si="27"/>
        <v>#REF!</v>
      </c>
      <c r="BS33" s="181" t="e">
        <f>IF(B33&lt;&gt;"",VLOOKUP(B33,'[9]IRR MES'!$C$5:$AK$600,34),"")</f>
        <v>#REF!</v>
      </c>
      <c r="BT33" s="248" t="e">
        <f>IF(B33&lt;&gt;"",VLOOKUP(B33,'[9]IRR MES'!$C$1:$AK$600,4),"")</f>
        <v>#REF!</v>
      </c>
      <c r="BU33" s="248" t="e">
        <f>IF(B33&lt;&gt;"",VLOOKUP(B33,'[9]IRR MES'!$C$1:$AK$600,7),"")</f>
        <v>#REF!</v>
      </c>
      <c r="BV33" s="248" t="e">
        <f>IF(B33&lt;&gt;"",VLOOKUP(B33,'[9]IRR MES'!$C$1:$AK$600,10),"")</f>
        <v>#REF!</v>
      </c>
      <c r="BW33" s="248" t="e">
        <f>IF(B33&lt;&gt;"",VLOOKUP(B33,'[9]IRR MES'!$C$1:$AK$600,13),"")</f>
        <v>#REF!</v>
      </c>
      <c r="BX33" s="248" t="e">
        <f>IF(B33&lt;&gt;"",VLOOKUP(B33,'[9]IRR MES'!$C$1:$AK$600,16),"")</f>
        <v>#REF!</v>
      </c>
      <c r="BY33" s="248" t="e">
        <f>IF(B33&lt;&gt;"",VLOOKUP(B33,'[9]IRR MES'!$C$1:$AK$600,19),"")</f>
        <v>#REF!</v>
      </c>
      <c r="BZ33" s="248" t="e">
        <f>IF(B33&lt;&gt;"",VLOOKUP(B33,'[9]IRR MES'!$C$1:$AK$600,22),"")</f>
        <v>#REF!</v>
      </c>
      <c r="CA33" s="248" t="e">
        <f>IF(B33&lt;&gt;"",VLOOKUP(B33,'[9]IRR MES'!$C$1:$AK$600,25),"")</f>
        <v>#REF!</v>
      </c>
      <c r="CB33" s="248" t="e">
        <f>IF(B33&lt;&gt;"",VLOOKUP(B33,'[9]IRR MES'!$C$1:$AK$600,28),"")</f>
        <v>#REF!</v>
      </c>
      <c r="CC33" s="248" t="e">
        <f>IF(B33&lt;&gt;"",VLOOKUP(B33,'[9]IRR MES'!$C$1:$AK$600,31),"")</f>
        <v>#REF!</v>
      </c>
      <c r="CD33" s="249" t="e">
        <f>#REF!</f>
        <v>#REF!</v>
      </c>
    </row>
    <row r="34" spans="1:82" x14ac:dyDescent="0.2">
      <c r="A34" s="10" t="e">
        <f t="shared" si="2"/>
        <v>#REF!</v>
      </c>
      <c r="B34" s="50" t="e">
        <f>#REF!</f>
        <v>#REF!</v>
      </c>
      <c r="C34" s="38">
        <f>'LEVANTAMENTO DADOS'!B32</f>
        <v>1945.81</v>
      </c>
      <c r="D34" s="63" t="e">
        <f>'BASE DE CALCULO IR'!W34</f>
        <v>#REF!</v>
      </c>
      <c r="E34" s="63"/>
      <c r="F34" s="60"/>
      <c r="G34" s="63"/>
      <c r="H34" s="63"/>
      <c r="I34" s="63"/>
      <c r="J34" s="63"/>
      <c r="K34" s="61"/>
      <c r="L34" s="61"/>
      <c r="M34" s="61"/>
      <c r="N34" s="60"/>
      <c r="O34" s="60"/>
      <c r="P34" s="60"/>
      <c r="Q34" s="62"/>
      <c r="R34" s="62" t="e">
        <f t="shared" si="3"/>
        <v>#REF!</v>
      </c>
      <c r="S34" s="63" t="e">
        <f t="shared" si="4"/>
        <v>#REF!</v>
      </c>
      <c r="T34" s="250"/>
      <c r="U34" s="63" t="e">
        <f t="shared" si="5"/>
        <v>#REF!</v>
      </c>
      <c r="V34" s="63" t="e">
        <f>#REF!</f>
        <v>#REF!</v>
      </c>
      <c r="W34" s="63" t="e">
        <f t="shared" si="6"/>
        <v>#REF!</v>
      </c>
      <c r="X34" s="242" t="e">
        <f t="shared" si="7"/>
        <v>#REF!</v>
      </c>
      <c r="Y34" s="34" t="e">
        <f t="shared" si="28"/>
        <v>#REF!</v>
      </c>
      <c r="Z34" s="34" t="e">
        <f t="shared" si="8"/>
        <v>#REF!</v>
      </c>
      <c r="AA34" s="176" t="e">
        <f t="shared" si="9"/>
        <v>#REF!</v>
      </c>
      <c r="AB34" s="11" t="e">
        <f t="shared" si="10"/>
        <v>#REF!</v>
      </c>
      <c r="AC34" s="245" t="e">
        <f t="shared" si="11"/>
        <v>#REF!</v>
      </c>
      <c r="AD34" s="245" t="e">
        <f t="shared" si="12"/>
        <v>#REF!</v>
      </c>
      <c r="AE34" s="245"/>
      <c r="AF34" s="245" t="e">
        <f t="shared" si="13"/>
        <v>#REF!</v>
      </c>
      <c r="AG34" s="173" t="e">
        <f t="shared" si="14"/>
        <v>#REF!</v>
      </c>
      <c r="AH34" s="51" t="e">
        <f t="shared" si="15"/>
        <v>#REF!</v>
      </c>
      <c r="AI34" s="63" t="e">
        <f>IF(B34&lt;&gt;"",VLOOKUP(B34,'[9]IRR MES'!$C$15:$AK$600,32),"")</f>
        <v>#REF!</v>
      </c>
      <c r="AJ34" s="246" t="e">
        <f t="shared" si="16"/>
        <v>#REF!</v>
      </c>
      <c r="AK34" s="181" t="e">
        <f t="shared" si="17"/>
        <v>#REF!</v>
      </c>
      <c r="AL34" s="181" t="e">
        <f t="shared" si="18"/>
        <v>#REF!</v>
      </c>
      <c r="AM34" s="181" t="e">
        <f t="shared" si="19"/>
        <v>#REF!</v>
      </c>
      <c r="AN34" s="181" t="e">
        <f t="shared" si="20"/>
        <v>#REF!</v>
      </c>
      <c r="AO34" s="181" t="e">
        <f t="shared" si="21"/>
        <v>#REF!</v>
      </c>
      <c r="AP34" s="181" t="e">
        <f t="shared" si="22"/>
        <v>#REF!</v>
      </c>
      <c r="AQ34" s="181" t="e">
        <f t="shared" si="23"/>
        <v>#REF!</v>
      </c>
      <c r="AR34" s="181" t="e">
        <f t="shared" si="24"/>
        <v>#REF!</v>
      </c>
      <c r="AS34" s="181" t="e">
        <f t="shared" si="25"/>
        <v>#REF!</v>
      </c>
      <c r="AT34" s="181" t="e">
        <f t="shared" si="26"/>
        <v>#REF!</v>
      </c>
      <c r="AU34" s="181"/>
      <c r="AV34" s="63"/>
      <c r="AW34" s="181" t="e">
        <f>IF(B34&lt;&gt;"",VLOOKUP(B34,'[9]IRR MES'!$C$5:$AK$600,2),"")</f>
        <v>#REF!</v>
      </c>
      <c r="AX34" s="247" t="e">
        <f>IF(B34&lt;&gt;"",VLOOKUP(B34,'[9]IRR MES'!$C$5:$AK$600,3),"")</f>
        <v>#REF!</v>
      </c>
      <c r="AY34" s="181" t="e">
        <f>IF(B34&lt;&gt;"",VLOOKUP(B34,'[9]IRR MES'!$C$5:$AK$600,5),"")</f>
        <v>#REF!</v>
      </c>
      <c r="AZ34" s="247" t="e">
        <f>IF(B34&lt;&gt;"",VLOOKUP(B34,'[9]IRR MES'!$C$5:$AK$600,6),"")</f>
        <v>#REF!</v>
      </c>
      <c r="BA34" s="181" t="e">
        <f>IF(B34&lt;&gt;"",VLOOKUP(B34,'[9]IRR MES'!$C$5:$AK$600,8),"")</f>
        <v>#REF!</v>
      </c>
      <c r="BB34" s="247" t="e">
        <f>IF(B34&lt;&gt;"",VLOOKUP(B34,'[9]IRR MES'!$C$5:$AK$600,9),"")</f>
        <v>#REF!</v>
      </c>
      <c r="BC34" s="247" t="e">
        <f>IF(B34&lt;&gt;"",VLOOKUP(B34,'[9]IRR MES'!$C$5:$AK$600,12),"")</f>
        <v>#REF!</v>
      </c>
      <c r="BD34" s="181" t="e">
        <f>IF(B34&lt;&gt;"",VLOOKUP(B34,'[9]IRR MES'!$C$5:$AK$600,14),"")</f>
        <v>#REF!</v>
      </c>
      <c r="BE34" s="247" t="e">
        <f>IF(B34&lt;&gt;"",VLOOKUP(B34,'[9]IRR MES'!$C$5:$AK$600,15),"")</f>
        <v>#REF!</v>
      </c>
      <c r="BF34" s="181" t="e">
        <f>IF(B34&lt;&gt;"",VLOOKUP(B34,'[9]IRR MES'!$C$5:$AK$600,17),"")</f>
        <v>#REF!</v>
      </c>
      <c r="BG34" s="247" t="e">
        <f>IF(B34&lt;&gt;"",VLOOKUP(B34,'[9]IRR MES'!$C$5:$AK$600,18),"")</f>
        <v>#REF!</v>
      </c>
      <c r="BH34" s="181" t="e">
        <f>IF(B34&lt;&gt;"",VLOOKUP(B34,'[9]IRR MES'!$C$5:$AK$600,20),"")</f>
        <v>#REF!</v>
      </c>
      <c r="BI34" s="247" t="e">
        <f>IF(B34&lt;&gt;"",VLOOKUP(B34,'[9]IRR MES'!$C$5:$AK$600,21),"")</f>
        <v>#REF!</v>
      </c>
      <c r="BJ34" s="181" t="e">
        <f>IF(B34&lt;&gt;"",VLOOKUP(B34,'[9]IRR MES'!$C$5:$AK$600,23),"")</f>
        <v>#REF!</v>
      </c>
      <c r="BK34" s="247" t="e">
        <f>IF(B34&lt;&gt;"",VLOOKUP(B34,'[9]IRR MES'!$C$5:$AK$600,24),"")</f>
        <v>#REF!</v>
      </c>
      <c r="BL34" s="181" t="e">
        <f>IF(B34&lt;&gt;"",VLOOKUP(B34,'[9]IRR MES'!$C$5:$AK$600,26),"")</f>
        <v>#REF!</v>
      </c>
      <c r="BM34" s="247" t="e">
        <f>IF(B34&lt;&gt;"",VLOOKUP(B34,'[9]IRR MES'!$C$5:$AK$600,27),"")</f>
        <v>#REF!</v>
      </c>
      <c r="BN34" s="181" t="e">
        <f>IF(B34&lt;&gt;"",VLOOKUP(B34,'[9]IRR MES'!$C$5:$AK$600,29),"")</f>
        <v>#REF!</v>
      </c>
      <c r="BO34" s="247" t="e">
        <f>IF(B34&lt;&gt;"",VLOOKUP(B34,'[9]IRR MES'!$C$5:$AK$600,30),"")</f>
        <v>#REF!</v>
      </c>
      <c r="BP34" s="181" t="e">
        <f>IF(B34&lt;&gt;"",VLOOKUP(B34,'[9]IRR MES'!$C$5:$AK$600,32),"")</f>
        <v>#REF!</v>
      </c>
      <c r="BQ34" s="181" t="e">
        <f>IF(B34&lt;&gt;"",VLOOKUP(B34,'[9]IRR MES'!$C$5:$AK$600,33),"")</f>
        <v>#REF!</v>
      </c>
      <c r="BR34" s="181" t="e">
        <f t="shared" si="27"/>
        <v>#REF!</v>
      </c>
      <c r="BS34" s="181" t="e">
        <f>IF(B34&lt;&gt;"",VLOOKUP(B34,'[9]IRR MES'!$C$5:$AK$600,34),"")</f>
        <v>#REF!</v>
      </c>
      <c r="BT34" s="248" t="e">
        <f>IF(B34&lt;&gt;"",VLOOKUP(B34,'[9]IRR MES'!$C$1:$AK$600,4),"")</f>
        <v>#REF!</v>
      </c>
      <c r="BU34" s="248" t="e">
        <f>IF(B34&lt;&gt;"",VLOOKUP(B34,'[9]IRR MES'!$C$1:$AK$600,7),"")</f>
        <v>#REF!</v>
      </c>
      <c r="BV34" s="248" t="e">
        <f>IF(B34&lt;&gt;"",VLOOKUP(B34,'[9]IRR MES'!$C$1:$AK$600,10),"")</f>
        <v>#REF!</v>
      </c>
      <c r="BW34" s="248" t="e">
        <f>IF(B34&lt;&gt;"",VLOOKUP(B34,'[9]IRR MES'!$C$1:$AK$600,13),"")</f>
        <v>#REF!</v>
      </c>
      <c r="BX34" s="248" t="e">
        <f>IF(B34&lt;&gt;"",VLOOKUP(B34,'[9]IRR MES'!$C$1:$AK$600,16),"")</f>
        <v>#REF!</v>
      </c>
      <c r="BY34" s="248" t="e">
        <f>IF(B34&lt;&gt;"",VLOOKUP(B34,'[9]IRR MES'!$C$1:$AK$600,19),"")</f>
        <v>#REF!</v>
      </c>
      <c r="BZ34" s="248" t="e">
        <f>IF(B34&lt;&gt;"",VLOOKUP(B34,'[9]IRR MES'!$C$1:$AK$600,22),"")</f>
        <v>#REF!</v>
      </c>
      <c r="CA34" s="248" t="e">
        <f>IF(B34&lt;&gt;"",VLOOKUP(B34,'[9]IRR MES'!$C$1:$AK$600,25),"")</f>
        <v>#REF!</v>
      </c>
      <c r="CB34" s="248" t="e">
        <f>IF(B34&lt;&gt;"",VLOOKUP(B34,'[9]IRR MES'!$C$1:$AK$600,28),"")</f>
        <v>#REF!</v>
      </c>
      <c r="CC34" s="248" t="e">
        <f>IF(B34&lt;&gt;"",VLOOKUP(B34,'[9]IRR MES'!$C$1:$AK$600,31),"")</f>
        <v>#REF!</v>
      </c>
      <c r="CD34" s="249" t="e">
        <f>#REF!</f>
        <v>#REF!</v>
      </c>
    </row>
    <row r="35" spans="1:82" x14ac:dyDescent="0.2">
      <c r="A35" s="10" t="e">
        <f t="shared" si="2"/>
        <v>#REF!</v>
      </c>
      <c r="B35" s="50" t="e">
        <f>#REF!</f>
        <v>#REF!</v>
      </c>
      <c r="C35" s="38">
        <f>'LEVANTAMENTO DADOS'!B33</f>
        <v>3058.43</v>
      </c>
      <c r="D35" s="63" t="e">
        <f>'BASE DE CALCULO IR'!W35</f>
        <v>#REF!</v>
      </c>
      <c r="E35" s="63"/>
      <c r="F35" s="60"/>
      <c r="G35" s="63"/>
      <c r="H35" s="63"/>
      <c r="I35" s="63"/>
      <c r="J35" s="63"/>
      <c r="K35" s="61"/>
      <c r="L35" s="61"/>
      <c r="M35" s="61"/>
      <c r="N35" s="60"/>
      <c r="O35" s="60"/>
      <c r="P35" s="60"/>
      <c r="Q35" s="62"/>
      <c r="R35" s="62" t="e">
        <f t="shared" si="3"/>
        <v>#REF!</v>
      </c>
      <c r="S35" s="63" t="e">
        <f t="shared" si="4"/>
        <v>#REF!</v>
      </c>
      <c r="T35" s="250"/>
      <c r="U35" s="63" t="e">
        <f t="shared" si="5"/>
        <v>#REF!</v>
      </c>
      <c r="V35" s="63" t="e">
        <f>#REF!</f>
        <v>#REF!</v>
      </c>
      <c r="W35" s="63" t="e">
        <f t="shared" si="6"/>
        <v>#REF!</v>
      </c>
      <c r="X35" s="242" t="e">
        <f t="shared" si="7"/>
        <v>#REF!</v>
      </c>
      <c r="Y35" s="34" t="e">
        <f t="shared" si="28"/>
        <v>#REF!</v>
      </c>
      <c r="Z35" s="34" t="e">
        <f t="shared" si="8"/>
        <v>#REF!</v>
      </c>
      <c r="AA35" s="176" t="e">
        <f t="shared" si="9"/>
        <v>#REF!</v>
      </c>
      <c r="AB35" s="11" t="e">
        <f t="shared" si="10"/>
        <v>#REF!</v>
      </c>
      <c r="AC35" s="245" t="e">
        <f t="shared" si="11"/>
        <v>#REF!</v>
      </c>
      <c r="AD35" s="245" t="e">
        <f t="shared" si="12"/>
        <v>#REF!</v>
      </c>
      <c r="AE35" s="245"/>
      <c r="AF35" s="245" t="e">
        <f t="shared" si="13"/>
        <v>#REF!</v>
      </c>
      <c r="AG35" s="173" t="e">
        <f t="shared" si="14"/>
        <v>#REF!</v>
      </c>
      <c r="AH35" s="51" t="e">
        <f t="shared" si="15"/>
        <v>#REF!</v>
      </c>
      <c r="AI35" s="63" t="e">
        <f>IF(B35&lt;&gt;"",VLOOKUP(B35,'[9]IRR MES'!$C$15:$AK$600,32),"")</f>
        <v>#REF!</v>
      </c>
      <c r="AJ35" s="246" t="e">
        <f t="shared" si="16"/>
        <v>#REF!</v>
      </c>
      <c r="AK35" s="181" t="e">
        <f t="shared" si="17"/>
        <v>#REF!</v>
      </c>
      <c r="AL35" s="181" t="e">
        <f t="shared" si="18"/>
        <v>#REF!</v>
      </c>
      <c r="AM35" s="181" t="e">
        <f t="shared" si="19"/>
        <v>#REF!</v>
      </c>
      <c r="AN35" s="181" t="e">
        <f t="shared" si="20"/>
        <v>#REF!</v>
      </c>
      <c r="AO35" s="181" t="e">
        <f t="shared" si="21"/>
        <v>#REF!</v>
      </c>
      <c r="AP35" s="181" t="e">
        <f t="shared" si="22"/>
        <v>#REF!</v>
      </c>
      <c r="AQ35" s="181" t="e">
        <f t="shared" si="23"/>
        <v>#REF!</v>
      </c>
      <c r="AR35" s="181" t="e">
        <f t="shared" si="24"/>
        <v>#REF!</v>
      </c>
      <c r="AS35" s="181" t="e">
        <f t="shared" si="25"/>
        <v>#REF!</v>
      </c>
      <c r="AT35" s="181" t="e">
        <f t="shared" si="26"/>
        <v>#REF!</v>
      </c>
      <c r="AU35" s="181"/>
      <c r="AV35" s="63"/>
      <c r="AW35" s="181" t="e">
        <f>IF(B35&lt;&gt;"",VLOOKUP(B35,'[9]IRR MES'!$C$5:$AK$600,2),"")</f>
        <v>#REF!</v>
      </c>
      <c r="AX35" s="247" t="e">
        <f>IF(B35&lt;&gt;"",VLOOKUP(B35,'[9]IRR MES'!$C$5:$AK$600,3),"")</f>
        <v>#REF!</v>
      </c>
      <c r="AY35" s="181" t="e">
        <f>IF(B35&lt;&gt;"",VLOOKUP(B35,'[9]IRR MES'!$C$5:$AK$600,5),"")</f>
        <v>#REF!</v>
      </c>
      <c r="AZ35" s="247" t="e">
        <f>IF(B35&lt;&gt;"",VLOOKUP(B35,'[9]IRR MES'!$C$5:$AK$600,6),"")</f>
        <v>#REF!</v>
      </c>
      <c r="BA35" s="181" t="e">
        <f>IF(B35&lt;&gt;"",VLOOKUP(B35,'[9]IRR MES'!$C$5:$AK$600,8),"")</f>
        <v>#REF!</v>
      </c>
      <c r="BB35" s="247" t="e">
        <f>IF(B35&lt;&gt;"",VLOOKUP(B35,'[9]IRR MES'!$C$5:$AK$600,9),"")</f>
        <v>#REF!</v>
      </c>
      <c r="BC35" s="247" t="e">
        <f>IF(B35&lt;&gt;"",VLOOKUP(B35,'[9]IRR MES'!$C$5:$AK$600,12),"")</f>
        <v>#REF!</v>
      </c>
      <c r="BD35" s="181" t="e">
        <f>IF(B35&lt;&gt;"",VLOOKUP(B35,'[9]IRR MES'!$C$5:$AK$600,14),"")</f>
        <v>#REF!</v>
      </c>
      <c r="BE35" s="247" t="e">
        <f>IF(B35&lt;&gt;"",VLOOKUP(B35,'[9]IRR MES'!$C$5:$AK$600,15),"")</f>
        <v>#REF!</v>
      </c>
      <c r="BF35" s="181" t="e">
        <f>IF(B35&lt;&gt;"",VLOOKUP(B35,'[9]IRR MES'!$C$5:$AK$600,17),"")</f>
        <v>#REF!</v>
      </c>
      <c r="BG35" s="247" t="e">
        <f>IF(B35&lt;&gt;"",VLOOKUP(B35,'[9]IRR MES'!$C$5:$AK$600,18),"")</f>
        <v>#REF!</v>
      </c>
      <c r="BH35" s="181" t="e">
        <f>IF(B35&lt;&gt;"",VLOOKUP(B35,'[9]IRR MES'!$C$5:$AK$600,20),"")</f>
        <v>#REF!</v>
      </c>
      <c r="BI35" s="247" t="e">
        <f>IF(B35&lt;&gt;"",VLOOKUP(B35,'[9]IRR MES'!$C$5:$AK$600,21),"")</f>
        <v>#REF!</v>
      </c>
      <c r="BJ35" s="181" t="e">
        <f>IF(B35&lt;&gt;"",VLOOKUP(B35,'[9]IRR MES'!$C$5:$AK$600,23),"")</f>
        <v>#REF!</v>
      </c>
      <c r="BK35" s="247" t="e">
        <f>IF(B35&lt;&gt;"",VLOOKUP(B35,'[9]IRR MES'!$C$5:$AK$600,24),"")</f>
        <v>#REF!</v>
      </c>
      <c r="BL35" s="181" t="e">
        <f>IF(B35&lt;&gt;"",VLOOKUP(B35,'[9]IRR MES'!$C$5:$AK$600,26),"")</f>
        <v>#REF!</v>
      </c>
      <c r="BM35" s="247" t="e">
        <f>IF(B35&lt;&gt;"",VLOOKUP(B35,'[9]IRR MES'!$C$5:$AK$600,27),"")</f>
        <v>#REF!</v>
      </c>
      <c r="BN35" s="181" t="e">
        <f>IF(B35&lt;&gt;"",VLOOKUP(B35,'[9]IRR MES'!$C$5:$AK$600,29),"")</f>
        <v>#REF!</v>
      </c>
      <c r="BO35" s="247" t="e">
        <f>IF(B35&lt;&gt;"",VLOOKUP(B35,'[9]IRR MES'!$C$5:$AK$600,30),"")</f>
        <v>#REF!</v>
      </c>
      <c r="BP35" s="181" t="e">
        <f>IF(B35&lt;&gt;"",VLOOKUP(B35,'[9]IRR MES'!$C$5:$AK$600,32),"")</f>
        <v>#REF!</v>
      </c>
      <c r="BQ35" s="181" t="e">
        <f>IF(B35&lt;&gt;"",VLOOKUP(B35,'[9]IRR MES'!$C$5:$AK$600,33),"")</f>
        <v>#REF!</v>
      </c>
      <c r="BR35" s="181" t="e">
        <f t="shared" si="27"/>
        <v>#REF!</v>
      </c>
      <c r="BS35" s="181" t="e">
        <f>IF(B35&lt;&gt;"",VLOOKUP(B35,'[9]IRR MES'!$C$5:$AK$600,34),"")</f>
        <v>#REF!</v>
      </c>
      <c r="BT35" s="248" t="e">
        <f>IF(B35&lt;&gt;"",VLOOKUP(B35,'[9]IRR MES'!$C$1:$AK$600,4),"")</f>
        <v>#REF!</v>
      </c>
      <c r="BU35" s="248" t="e">
        <f>IF(B35&lt;&gt;"",VLOOKUP(B35,'[9]IRR MES'!$C$1:$AK$600,7),"")</f>
        <v>#REF!</v>
      </c>
      <c r="BV35" s="248" t="e">
        <f>IF(B35&lt;&gt;"",VLOOKUP(B35,'[9]IRR MES'!$C$1:$AK$600,10),"")</f>
        <v>#REF!</v>
      </c>
      <c r="BW35" s="248" t="e">
        <f>IF(B35&lt;&gt;"",VLOOKUP(B35,'[9]IRR MES'!$C$1:$AK$600,13),"")</f>
        <v>#REF!</v>
      </c>
      <c r="BX35" s="248" t="e">
        <f>IF(B35&lt;&gt;"",VLOOKUP(B35,'[9]IRR MES'!$C$1:$AK$600,16),"")</f>
        <v>#REF!</v>
      </c>
      <c r="BY35" s="248" t="e">
        <f>IF(B35&lt;&gt;"",VLOOKUP(B35,'[9]IRR MES'!$C$1:$AK$600,19),"")</f>
        <v>#REF!</v>
      </c>
      <c r="BZ35" s="248" t="e">
        <f>IF(B35&lt;&gt;"",VLOOKUP(B35,'[9]IRR MES'!$C$1:$AK$600,22),"")</f>
        <v>#REF!</v>
      </c>
      <c r="CA35" s="248" t="e">
        <f>IF(B35&lt;&gt;"",VLOOKUP(B35,'[9]IRR MES'!$C$1:$AK$600,25),"")</f>
        <v>#REF!</v>
      </c>
      <c r="CB35" s="248" t="e">
        <f>IF(B35&lt;&gt;"",VLOOKUP(B35,'[9]IRR MES'!$C$1:$AK$600,28),"")</f>
        <v>#REF!</v>
      </c>
      <c r="CC35" s="248" t="e">
        <f>IF(B35&lt;&gt;"",VLOOKUP(B35,'[9]IRR MES'!$C$1:$AK$600,31),"")</f>
        <v>#REF!</v>
      </c>
      <c r="CD35" s="249" t="e">
        <f>#REF!</f>
        <v>#REF!</v>
      </c>
    </row>
    <row r="36" spans="1:82" x14ac:dyDescent="0.2">
      <c r="A36" s="10" t="e">
        <f t="shared" si="2"/>
        <v>#REF!</v>
      </c>
      <c r="B36" s="50" t="e">
        <f>#REF!</f>
        <v>#REF!</v>
      </c>
      <c r="C36" s="38">
        <f>'LEVANTAMENTO DADOS'!B34</f>
        <v>3658.22</v>
      </c>
      <c r="D36" s="63" t="e">
        <f>'BASE DE CALCULO IR'!W36</f>
        <v>#REF!</v>
      </c>
      <c r="E36" s="63"/>
      <c r="F36" s="60"/>
      <c r="G36" s="63"/>
      <c r="H36" s="63"/>
      <c r="I36" s="63"/>
      <c r="J36" s="63"/>
      <c r="K36" s="61"/>
      <c r="L36" s="61"/>
      <c r="M36" s="61"/>
      <c r="N36" s="60"/>
      <c r="O36" s="60"/>
      <c r="P36" s="60"/>
      <c r="Q36" s="62"/>
      <c r="R36" s="62" t="e">
        <f t="shared" si="3"/>
        <v>#REF!</v>
      </c>
      <c r="S36" s="63" t="e">
        <f t="shared" si="4"/>
        <v>#REF!</v>
      </c>
      <c r="T36" s="250"/>
      <c r="U36" s="63" t="e">
        <f t="shared" si="5"/>
        <v>#REF!</v>
      </c>
      <c r="V36" s="63" t="e">
        <f>#REF!</f>
        <v>#REF!</v>
      </c>
      <c r="W36" s="63" t="e">
        <f t="shared" si="6"/>
        <v>#REF!</v>
      </c>
      <c r="X36" s="242" t="e">
        <f t="shared" si="7"/>
        <v>#REF!</v>
      </c>
      <c r="Y36" s="34" t="e">
        <f t="shared" si="28"/>
        <v>#REF!</v>
      </c>
      <c r="Z36" s="34" t="e">
        <f t="shared" si="8"/>
        <v>#REF!</v>
      </c>
      <c r="AA36" s="176" t="e">
        <f t="shared" si="9"/>
        <v>#REF!</v>
      </c>
      <c r="AB36" s="11" t="e">
        <f t="shared" si="10"/>
        <v>#REF!</v>
      </c>
      <c r="AC36" s="245" t="e">
        <f t="shared" si="11"/>
        <v>#REF!</v>
      </c>
      <c r="AD36" s="245" t="e">
        <f t="shared" si="12"/>
        <v>#REF!</v>
      </c>
      <c r="AE36" s="245"/>
      <c r="AF36" s="245" t="e">
        <f t="shared" si="13"/>
        <v>#REF!</v>
      </c>
      <c r="AG36" s="173" t="e">
        <f t="shared" si="14"/>
        <v>#REF!</v>
      </c>
      <c r="AH36" s="51" t="e">
        <f t="shared" si="15"/>
        <v>#REF!</v>
      </c>
      <c r="AI36" s="63" t="e">
        <f>IF(B36&lt;&gt;"",VLOOKUP(B36,'[9]IRR MES'!$C$15:$AK$600,32),"")</f>
        <v>#REF!</v>
      </c>
      <c r="AJ36" s="246" t="e">
        <f t="shared" si="16"/>
        <v>#REF!</v>
      </c>
      <c r="AK36" s="181" t="e">
        <f t="shared" si="17"/>
        <v>#REF!</v>
      </c>
      <c r="AL36" s="181" t="e">
        <f t="shared" si="18"/>
        <v>#REF!</v>
      </c>
      <c r="AM36" s="181" t="e">
        <f t="shared" si="19"/>
        <v>#REF!</v>
      </c>
      <c r="AN36" s="181" t="e">
        <f t="shared" si="20"/>
        <v>#REF!</v>
      </c>
      <c r="AO36" s="181" t="e">
        <f t="shared" si="21"/>
        <v>#REF!</v>
      </c>
      <c r="AP36" s="181" t="e">
        <f t="shared" si="22"/>
        <v>#REF!</v>
      </c>
      <c r="AQ36" s="181" t="e">
        <f t="shared" si="23"/>
        <v>#REF!</v>
      </c>
      <c r="AR36" s="181" t="e">
        <f t="shared" si="24"/>
        <v>#REF!</v>
      </c>
      <c r="AS36" s="181" t="e">
        <f t="shared" si="25"/>
        <v>#REF!</v>
      </c>
      <c r="AT36" s="181" t="e">
        <f t="shared" si="26"/>
        <v>#REF!</v>
      </c>
      <c r="AU36" s="181"/>
      <c r="AV36" s="63"/>
      <c r="AW36" s="181" t="e">
        <f>IF(B36&lt;&gt;"",VLOOKUP(B36,'[9]IRR MES'!$C$5:$AK$600,2),"")</f>
        <v>#REF!</v>
      </c>
      <c r="AX36" s="247" t="e">
        <f>IF(B36&lt;&gt;"",VLOOKUP(B36,'[9]IRR MES'!$C$5:$AK$600,3),"")</f>
        <v>#REF!</v>
      </c>
      <c r="AY36" s="181" t="e">
        <f>IF(B36&lt;&gt;"",VLOOKUP(B36,'[9]IRR MES'!$C$5:$AK$600,5),"")</f>
        <v>#REF!</v>
      </c>
      <c r="AZ36" s="247" t="e">
        <f>IF(B36&lt;&gt;"",VLOOKUP(B36,'[9]IRR MES'!$C$5:$AK$600,6),"")</f>
        <v>#REF!</v>
      </c>
      <c r="BA36" s="181" t="e">
        <f>IF(B36&lt;&gt;"",VLOOKUP(B36,'[9]IRR MES'!$C$5:$AK$600,8),"")</f>
        <v>#REF!</v>
      </c>
      <c r="BB36" s="247" t="e">
        <f>IF(B36&lt;&gt;"",VLOOKUP(B36,'[9]IRR MES'!$C$5:$AK$600,9),"")</f>
        <v>#REF!</v>
      </c>
      <c r="BC36" s="247" t="e">
        <f>IF(B36&lt;&gt;"",VLOOKUP(B36,'[9]IRR MES'!$C$5:$AK$600,12),"")</f>
        <v>#REF!</v>
      </c>
      <c r="BD36" s="181" t="e">
        <f>IF(B36&lt;&gt;"",VLOOKUP(B36,'[9]IRR MES'!$C$5:$AK$600,14),"")</f>
        <v>#REF!</v>
      </c>
      <c r="BE36" s="247" t="e">
        <f>IF(B36&lt;&gt;"",VLOOKUP(B36,'[9]IRR MES'!$C$5:$AK$600,15),"")</f>
        <v>#REF!</v>
      </c>
      <c r="BF36" s="181" t="e">
        <f>IF(B36&lt;&gt;"",VLOOKUP(B36,'[9]IRR MES'!$C$5:$AK$600,17),"")</f>
        <v>#REF!</v>
      </c>
      <c r="BG36" s="247" t="e">
        <f>IF(B36&lt;&gt;"",VLOOKUP(B36,'[9]IRR MES'!$C$5:$AK$600,18),"")</f>
        <v>#REF!</v>
      </c>
      <c r="BH36" s="181" t="e">
        <f>IF(B36&lt;&gt;"",VLOOKUP(B36,'[9]IRR MES'!$C$5:$AK$600,20),"")</f>
        <v>#REF!</v>
      </c>
      <c r="BI36" s="247" t="e">
        <f>IF(B36&lt;&gt;"",VLOOKUP(B36,'[9]IRR MES'!$C$5:$AK$600,21),"")</f>
        <v>#REF!</v>
      </c>
      <c r="BJ36" s="181" t="e">
        <f>IF(B36&lt;&gt;"",VLOOKUP(B36,'[9]IRR MES'!$C$5:$AK$600,23),"")</f>
        <v>#REF!</v>
      </c>
      <c r="BK36" s="247" t="e">
        <f>IF(B36&lt;&gt;"",VLOOKUP(B36,'[9]IRR MES'!$C$5:$AK$600,24),"")</f>
        <v>#REF!</v>
      </c>
      <c r="BL36" s="181" t="e">
        <f>IF(B36&lt;&gt;"",VLOOKUP(B36,'[9]IRR MES'!$C$5:$AK$600,26),"")</f>
        <v>#REF!</v>
      </c>
      <c r="BM36" s="247" t="e">
        <f>IF(B36&lt;&gt;"",VLOOKUP(B36,'[9]IRR MES'!$C$5:$AK$600,27),"")</f>
        <v>#REF!</v>
      </c>
      <c r="BN36" s="181" t="e">
        <f>IF(B36&lt;&gt;"",VLOOKUP(B36,'[9]IRR MES'!$C$5:$AK$600,29),"")</f>
        <v>#REF!</v>
      </c>
      <c r="BO36" s="247" t="e">
        <f>IF(B36&lt;&gt;"",VLOOKUP(B36,'[9]IRR MES'!$C$5:$AK$600,30),"")</f>
        <v>#REF!</v>
      </c>
      <c r="BP36" s="181" t="e">
        <f>IF(B36&lt;&gt;"",VLOOKUP(B36,'[9]IRR MES'!$C$5:$AK$600,32),"")</f>
        <v>#REF!</v>
      </c>
      <c r="BQ36" s="181" t="e">
        <f>IF(B36&lt;&gt;"",VLOOKUP(B36,'[9]IRR MES'!$C$5:$AK$600,33),"")</f>
        <v>#REF!</v>
      </c>
      <c r="BR36" s="181" t="e">
        <f t="shared" si="27"/>
        <v>#REF!</v>
      </c>
      <c r="BS36" s="181" t="e">
        <f>IF(B36&lt;&gt;"",VLOOKUP(B36,'[9]IRR MES'!$C$5:$AK$600,34),"")</f>
        <v>#REF!</v>
      </c>
      <c r="BT36" s="248" t="e">
        <f>IF(B36&lt;&gt;"",VLOOKUP(B36,'[9]IRR MES'!$C$1:$AK$600,4),"")</f>
        <v>#REF!</v>
      </c>
      <c r="BU36" s="248" t="e">
        <f>IF(B36&lt;&gt;"",VLOOKUP(B36,'[9]IRR MES'!$C$1:$AK$600,7),"")</f>
        <v>#REF!</v>
      </c>
      <c r="BV36" s="248" t="e">
        <f>IF(B36&lt;&gt;"",VLOOKUP(B36,'[9]IRR MES'!$C$1:$AK$600,10),"")</f>
        <v>#REF!</v>
      </c>
      <c r="BW36" s="248" t="e">
        <f>IF(B36&lt;&gt;"",VLOOKUP(B36,'[9]IRR MES'!$C$1:$AK$600,13),"")</f>
        <v>#REF!</v>
      </c>
      <c r="BX36" s="248" t="e">
        <f>IF(B36&lt;&gt;"",VLOOKUP(B36,'[9]IRR MES'!$C$1:$AK$600,16),"")</f>
        <v>#REF!</v>
      </c>
      <c r="BY36" s="248" t="e">
        <f>IF(B36&lt;&gt;"",VLOOKUP(B36,'[9]IRR MES'!$C$1:$AK$600,19),"")</f>
        <v>#REF!</v>
      </c>
      <c r="BZ36" s="248" t="e">
        <f>IF(B36&lt;&gt;"",VLOOKUP(B36,'[9]IRR MES'!$C$1:$AK$600,22),"")</f>
        <v>#REF!</v>
      </c>
      <c r="CA36" s="248" t="e">
        <f>IF(B36&lt;&gt;"",VLOOKUP(B36,'[9]IRR MES'!$C$1:$AK$600,25),"")</f>
        <v>#REF!</v>
      </c>
      <c r="CB36" s="248" t="e">
        <f>IF(B36&lt;&gt;"",VLOOKUP(B36,'[9]IRR MES'!$C$1:$AK$600,28),"")</f>
        <v>#REF!</v>
      </c>
      <c r="CC36" s="248" t="e">
        <f>IF(B36&lt;&gt;"",VLOOKUP(B36,'[9]IRR MES'!$C$1:$AK$600,31),"")</f>
        <v>#REF!</v>
      </c>
      <c r="CD36" s="249" t="e">
        <f>#REF!</f>
        <v>#REF!</v>
      </c>
    </row>
    <row r="37" spans="1:82" x14ac:dyDescent="0.2">
      <c r="A37" s="10" t="e">
        <f t="shared" si="2"/>
        <v>#REF!</v>
      </c>
      <c r="B37" s="50" t="e">
        <f>#REF!</f>
        <v>#REF!</v>
      </c>
      <c r="C37" s="38">
        <f>'LEVANTAMENTO DADOS'!B35</f>
        <v>4024.44</v>
      </c>
      <c r="D37" s="63" t="e">
        <f>'BASE DE CALCULO IR'!W37</f>
        <v>#REF!</v>
      </c>
      <c r="E37" s="63"/>
      <c r="F37" s="60"/>
      <c r="G37" s="63"/>
      <c r="H37" s="63"/>
      <c r="I37" s="63"/>
      <c r="J37" s="63"/>
      <c r="K37" s="61"/>
      <c r="L37" s="61"/>
      <c r="M37" s="61"/>
      <c r="N37" s="60"/>
      <c r="O37" s="60"/>
      <c r="P37" s="60"/>
      <c r="Q37" s="62"/>
      <c r="R37" s="62" t="e">
        <f t="shared" si="3"/>
        <v>#REF!</v>
      </c>
      <c r="S37" s="63" t="e">
        <f t="shared" si="4"/>
        <v>#REF!</v>
      </c>
      <c r="T37" s="250"/>
      <c r="U37" s="63" t="e">
        <f t="shared" si="5"/>
        <v>#REF!</v>
      </c>
      <c r="V37" s="63" t="e">
        <f>#REF!</f>
        <v>#REF!</v>
      </c>
      <c r="W37" s="63" t="e">
        <f t="shared" si="6"/>
        <v>#REF!</v>
      </c>
      <c r="X37" s="242" t="e">
        <f t="shared" si="7"/>
        <v>#REF!</v>
      </c>
      <c r="Y37" s="34" t="e">
        <f t="shared" si="28"/>
        <v>#REF!</v>
      </c>
      <c r="Z37" s="34" t="e">
        <f t="shared" si="8"/>
        <v>#REF!</v>
      </c>
      <c r="AA37" s="176" t="e">
        <f t="shared" si="9"/>
        <v>#REF!</v>
      </c>
      <c r="AB37" s="11" t="e">
        <f t="shared" si="10"/>
        <v>#REF!</v>
      </c>
      <c r="AC37" s="245" t="e">
        <f t="shared" si="11"/>
        <v>#REF!</v>
      </c>
      <c r="AD37" s="245" t="e">
        <f t="shared" si="12"/>
        <v>#REF!</v>
      </c>
      <c r="AE37" s="245"/>
      <c r="AF37" s="245" t="e">
        <f t="shared" si="13"/>
        <v>#REF!</v>
      </c>
      <c r="AG37" s="173" t="e">
        <f t="shared" si="14"/>
        <v>#REF!</v>
      </c>
      <c r="AH37" s="51" t="e">
        <f t="shared" si="15"/>
        <v>#REF!</v>
      </c>
      <c r="AI37" s="63" t="e">
        <f>IF(B37&lt;&gt;"",VLOOKUP(B37,'[9]IRR MES'!$C$15:$AK$600,32),"")</f>
        <v>#REF!</v>
      </c>
      <c r="AJ37" s="246" t="e">
        <f t="shared" si="16"/>
        <v>#REF!</v>
      </c>
      <c r="AK37" s="181" t="e">
        <f t="shared" si="17"/>
        <v>#REF!</v>
      </c>
      <c r="AL37" s="181" t="e">
        <f t="shared" si="18"/>
        <v>#REF!</v>
      </c>
      <c r="AM37" s="181" t="e">
        <f t="shared" si="19"/>
        <v>#REF!</v>
      </c>
      <c r="AN37" s="181" t="e">
        <f t="shared" si="20"/>
        <v>#REF!</v>
      </c>
      <c r="AO37" s="181" t="e">
        <f t="shared" si="21"/>
        <v>#REF!</v>
      </c>
      <c r="AP37" s="181" t="e">
        <f t="shared" si="22"/>
        <v>#REF!</v>
      </c>
      <c r="AQ37" s="181" t="e">
        <f t="shared" si="23"/>
        <v>#REF!</v>
      </c>
      <c r="AR37" s="181" t="e">
        <f t="shared" si="24"/>
        <v>#REF!</v>
      </c>
      <c r="AS37" s="181" t="e">
        <f t="shared" si="25"/>
        <v>#REF!</v>
      </c>
      <c r="AT37" s="181" t="e">
        <f t="shared" si="26"/>
        <v>#REF!</v>
      </c>
      <c r="AU37" s="181"/>
      <c r="AV37" s="63"/>
      <c r="AW37" s="181" t="e">
        <f>IF(B37&lt;&gt;"",VLOOKUP(B37,'[9]IRR MES'!$C$5:$AK$600,2),"")</f>
        <v>#REF!</v>
      </c>
      <c r="AX37" s="247" t="e">
        <f>IF(B37&lt;&gt;"",VLOOKUP(B37,'[9]IRR MES'!$C$5:$AK$600,3),"")</f>
        <v>#REF!</v>
      </c>
      <c r="AY37" s="181" t="e">
        <f>IF(B37&lt;&gt;"",VLOOKUP(B37,'[9]IRR MES'!$C$5:$AK$600,5),"")</f>
        <v>#REF!</v>
      </c>
      <c r="AZ37" s="247" t="e">
        <f>IF(B37&lt;&gt;"",VLOOKUP(B37,'[9]IRR MES'!$C$5:$AK$600,6),"")</f>
        <v>#REF!</v>
      </c>
      <c r="BA37" s="181" t="e">
        <f>IF(B37&lt;&gt;"",VLOOKUP(B37,'[9]IRR MES'!$C$5:$AK$600,8),"")</f>
        <v>#REF!</v>
      </c>
      <c r="BB37" s="247" t="e">
        <f>IF(B37&lt;&gt;"",VLOOKUP(B37,'[9]IRR MES'!$C$5:$AK$600,9),"")</f>
        <v>#REF!</v>
      </c>
      <c r="BC37" s="247" t="e">
        <f>IF(B37&lt;&gt;"",VLOOKUP(B37,'[9]IRR MES'!$C$5:$AK$600,12),"")</f>
        <v>#REF!</v>
      </c>
      <c r="BD37" s="181" t="e">
        <f>IF(B37&lt;&gt;"",VLOOKUP(B37,'[9]IRR MES'!$C$5:$AK$600,14),"")</f>
        <v>#REF!</v>
      </c>
      <c r="BE37" s="247" t="e">
        <f>IF(B37&lt;&gt;"",VLOOKUP(B37,'[9]IRR MES'!$C$5:$AK$600,15),"")</f>
        <v>#REF!</v>
      </c>
      <c r="BF37" s="181" t="e">
        <f>IF(B37&lt;&gt;"",VLOOKUP(B37,'[9]IRR MES'!$C$5:$AK$600,17),"")</f>
        <v>#REF!</v>
      </c>
      <c r="BG37" s="247" t="e">
        <f>IF(B37&lt;&gt;"",VLOOKUP(B37,'[9]IRR MES'!$C$5:$AK$600,18),"")</f>
        <v>#REF!</v>
      </c>
      <c r="BH37" s="181" t="e">
        <f>IF(B37&lt;&gt;"",VLOOKUP(B37,'[9]IRR MES'!$C$5:$AK$600,20),"")</f>
        <v>#REF!</v>
      </c>
      <c r="BI37" s="247" t="e">
        <f>IF(B37&lt;&gt;"",VLOOKUP(B37,'[9]IRR MES'!$C$5:$AK$600,21),"")</f>
        <v>#REF!</v>
      </c>
      <c r="BJ37" s="181" t="e">
        <f>IF(B37&lt;&gt;"",VLOOKUP(B37,'[9]IRR MES'!$C$5:$AK$600,23),"")</f>
        <v>#REF!</v>
      </c>
      <c r="BK37" s="247" t="e">
        <f>IF(B37&lt;&gt;"",VLOOKUP(B37,'[9]IRR MES'!$C$5:$AK$600,24),"")</f>
        <v>#REF!</v>
      </c>
      <c r="BL37" s="181" t="e">
        <f>IF(B37&lt;&gt;"",VLOOKUP(B37,'[9]IRR MES'!$C$5:$AK$600,26),"")</f>
        <v>#REF!</v>
      </c>
      <c r="BM37" s="247" t="e">
        <f>IF(B37&lt;&gt;"",VLOOKUP(B37,'[9]IRR MES'!$C$5:$AK$600,27),"")</f>
        <v>#REF!</v>
      </c>
      <c r="BN37" s="181" t="e">
        <f>IF(B37&lt;&gt;"",VLOOKUP(B37,'[9]IRR MES'!$C$5:$AK$600,29),"")</f>
        <v>#REF!</v>
      </c>
      <c r="BO37" s="247" t="e">
        <f>IF(B37&lt;&gt;"",VLOOKUP(B37,'[9]IRR MES'!$C$5:$AK$600,30),"")</f>
        <v>#REF!</v>
      </c>
      <c r="BP37" s="181" t="e">
        <f>IF(B37&lt;&gt;"",VLOOKUP(B37,'[9]IRR MES'!$C$5:$AK$600,32),"")</f>
        <v>#REF!</v>
      </c>
      <c r="BQ37" s="181" t="e">
        <f>IF(B37&lt;&gt;"",VLOOKUP(B37,'[9]IRR MES'!$C$5:$AK$600,33),"")</f>
        <v>#REF!</v>
      </c>
      <c r="BR37" s="181" t="e">
        <f t="shared" si="27"/>
        <v>#REF!</v>
      </c>
      <c r="BS37" s="181" t="e">
        <f>IF(B37&lt;&gt;"",VLOOKUP(B37,'[9]IRR MES'!$C$5:$AK$600,34),"")</f>
        <v>#REF!</v>
      </c>
      <c r="BT37" s="248" t="e">
        <f>IF(B37&lt;&gt;"",VLOOKUP(B37,'[9]IRR MES'!$C$1:$AK$600,4),"")</f>
        <v>#REF!</v>
      </c>
      <c r="BU37" s="248" t="e">
        <f>IF(B37&lt;&gt;"",VLOOKUP(B37,'[9]IRR MES'!$C$1:$AK$600,7),"")</f>
        <v>#REF!</v>
      </c>
      <c r="BV37" s="248" t="e">
        <f>IF(B37&lt;&gt;"",VLOOKUP(B37,'[9]IRR MES'!$C$1:$AK$600,10),"")</f>
        <v>#REF!</v>
      </c>
      <c r="BW37" s="248" t="e">
        <f>IF(B37&lt;&gt;"",VLOOKUP(B37,'[9]IRR MES'!$C$1:$AK$600,13),"")</f>
        <v>#REF!</v>
      </c>
      <c r="BX37" s="248" t="e">
        <f>IF(B37&lt;&gt;"",VLOOKUP(B37,'[9]IRR MES'!$C$1:$AK$600,16),"")</f>
        <v>#REF!</v>
      </c>
      <c r="BY37" s="248" t="e">
        <f>IF(B37&lt;&gt;"",VLOOKUP(B37,'[9]IRR MES'!$C$1:$AK$600,19),"")</f>
        <v>#REF!</v>
      </c>
      <c r="BZ37" s="248" t="e">
        <f>IF(B37&lt;&gt;"",VLOOKUP(B37,'[9]IRR MES'!$C$1:$AK$600,22),"")</f>
        <v>#REF!</v>
      </c>
      <c r="CA37" s="248" t="e">
        <f>IF(B37&lt;&gt;"",VLOOKUP(B37,'[9]IRR MES'!$C$1:$AK$600,25),"")</f>
        <v>#REF!</v>
      </c>
      <c r="CB37" s="248" t="e">
        <f>IF(B37&lt;&gt;"",VLOOKUP(B37,'[9]IRR MES'!$C$1:$AK$600,28),"")</f>
        <v>#REF!</v>
      </c>
      <c r="CC37" s="248" t="e">
        <f>IF(B37&lt;&gt;"",VLOOKUP(B37,'[9]IRR MES'!$C$1:$AK$600,31),"")</f>
        <v>#REF!</v>
      </c>
      <c r="CD37" s="249" t="e">
        <f>#REF!</f>
        <v>#REF!</v>
      </c>
    </row>
    <row r="38" spans="1:82" x14ac:dyDescent="0.2">
      <c r="A38" s="10" t="e">
        <f t="shared" si="2"/>
        <v>#REF!</v>
      </c>
      <c r="B38" s="50" t="e">
        <f>#REF!</f>
        <v>#REF!</v>
      </c>
      <c r="C38" s="38">
        <f>'LEVANTAMENTO DADOS'!B36</f>
        <v>4259.8500000000004</v>
      </c>
      <c r="D38" s="63" t="e">
        <f>'BASE DE CALCULO IR'!W38</f>
        <v>#REF!</v>
      </c>
      <c r="E38" s="63"/>
      <c r="F38" s="60"/>
      <c r="G38" s="63"/>
      <c r="H38" s="63"/>
      <c r="I38" s="63"/>
      <c r="J38" s="63"/>
      <c r="K38" s="61"/>
      <c r="L38" s="61"/>
      <c r="M38" s="61"/>
      <c r="N38" s="60"/>
      <c r="O38" s="60"/>
      <c r="P38" s="60"/>
      <c r="Q38" s="62"/>
      <c r="R38" s="62" t="e">
        <f t="shared" si="3"/>
        <v>#REF!</v>
      </c>
      <c r="S38" s="63" t="e">
        <f t="shared" si="4"/>
        <v>#REF!</v>
      </c>
      <c r="T38" s="250"/>
      <c r="U38" s="63" t="e">
        <f t="shared" si="5"/>
        <v>#REF!</v>
      </c>
      <c r="V38" s="63" t="e">
        <f>#REF!</f>
        <v>#REF!</v>
      </c>
      <c r="W38" s="63" t="e">
        <f t="shared" si="6"/>
        <v>#REF!</v>
      </c>
      <c r="X38" s="242" t="e">
        <f t="shared" si="7"/>
        <v>#REF!</v>
      </c>
      <c r="Y38" s="34" t="e">
        <f t="shared" si="28"/>
        <v>#REF!</v>
      </c>
      <c r="Z38" s="34" t="e">
        <f t="shared" si="8"/>
        <v>#REF!</v>
      </c>
      <c r="AA38" s="176" t="e">
        <f t="shared" si="9"/>
        <v>#REF!</v>
      </c>
      <c r="AB38" s="11" t="e">
        <f t="shared" si="10"/>
        <v>#REF!</v>
      </c>
      <c r="AC38" s="245" t="e">
        <f t="shared" si="11"/>
        <v>#REF!</v>
      </c>
      <c r="AD38" s="245" t="e">
        <f t="shared" si="12"/>
        <v>#REF!</v>
      </c>
      <c r="AE38" s="245"/>
      <c r="AF38" s="245" t="e">
        <f t="shared" si="13"/>
        <v>#REF!</v>
      </c>
      <c r="AG38" s="173" t="e">
        <f t="shared" si="14"/>
        <v>#REF!</v>
      </c>
      <c r="AH38" s="51" t="e">
        <f t="shared" si="15"/>
        <v>#REF!</v>
      </c>
      <c r="AI38" s="63" t="e">
        <f>IF(B38&lt;&gt;"",VLOOKUP(B38,'[9]IRR MES'!$C$15:$AK$600,32),"")</f>
        <v>#REF!</v>
      </c>
      <c r="AJ38" s="246" t="e">
        <f t="shared" si="16"/>
        <v>#REF!</v>
      </c>
      <c r="AK38" s="181" t="e">
        <f t="shared" si="17"/>
        <v>#REF!</v>
      </c>
      <c r="AL38" s="181" t="e">
        <f t="shared" si="18"/>
        <v>#REF!</v>
      </c>
      <c r="AM38" s="181" t="e">
        <f t="shared" si="19"/>
        <v>#REF!</v>
      </c>
      <c r="AN38" s="181" t="e">
        <f t="shared" si="20"/>
        <v>#REF!</v>
      </c>
      <c r="AO38" s="181" t="e">
        <f t="shared" si="21"/>
        <v>#REF!</v>
      </c>
      <c r="AP38" s="181" t="e">
        <f t="shared" si="22"/>
        <v>#REF!</v>
      </c>
      <c r="AQ38" s="181" t="e">
        <f t="shared" si="23"/>
        <v>#REF!</v>
      </c>
      <c r="AR38" s="181" t="e">
        <f t="shared" si="24"/>
        <v>#REF!</v>
      </c>
      <c r="AS38" s="181" t="e">
        <f t="shared" si="25"/>
        <v>#REF!</v>
      </c>
      <c r="AT38" s="181" t="e">
        <f t="shared" si="26"/>
        <v>#REF!</v>
      </c>
      <c r="AU38" s="181"/>
      <c r="AV38" s="63"/>
      <c r="AW38" s="181" t="e">
        <f>IF(B38&lt;&gt;"",VLOOKUP(B38,'[9]IRR MES'!$C$5:$AK$600,2),"")</f>
        <v>#REF!</v>
      </c>
      <c r="AX38" s="247" t="e">
        <f>IF(B38&lt;&gt;"",VLOOKUP(B38,'[9]IRR MES'!$C$5:$AK$600,3),"")</f>
        <v>#REF!</v>
      </c>
      <c r="AY38" s="181" t="e">
        <f>IF(B38&lt;&gt;"",VLOOKUP(B38,'[9]IRR MES'!$C$5:$AK$600,5),"")</f>
        <v>#REF!</v>
      </c>
      <c r="AZ38" s="247" t="e">
        <f>IF(B38&lt;&gt;"",VLOOKUP(B38,'[9]IRR MES'!$C$5:$AK$600,6),"")</f>
        <v>#REF!</v>
      </c>
      <c r="BA38" s="181" t="e">
        <f>IF(B38&lt;&gt;"",VLOOKUP(B38,'[9]IRR MES'!$C$5:$AK$600,8),"")</f>
        <v>#REF!</v>
      </c>
      <c r="BB38" s="247" t="e">
        <f>IF(B38&lt;&gt;"",VLOOKUP(B38,'[9]IRR MES'!$C$5:$AK$600,9),"")</f>
        <v>#REF!</v>
      </c>
      <c r="BC38" s="247" t="e">
        <f>IF(B38&lt;&gt;"",VLOOKUP(B38,'[9]IRR MES'!$C$5:$AK$600,12),"")</f>
        <v>#REF!</v>
      </c>
      <c r="BD38" s="181" t="e">
        <f>IF(B38&lt;&gt;"",VLOOKUP(B38,'[9]IRR MES'!$C$5:$AK$600,14),"")</f>
        <v>#REF!</v>
      </c>
      <c r="BE38" s="247" t="e">
        <f>IF(B38&lt;&gt;"",VLOOKUP(B38,'[9]IRR MES'!$C$5:$AK$600,15),"")</f>
        <v>#REF!</v>
      </c>
      <c r="BF38" s="181" t="e">
        <f>IF(B38&lt;&gt;"",VLOOKUP(B38,'[9]IRR MES'!$C$5:$AK$600,17),"")</f>
        <v>#REF!</v>
      </c>
      <c r="BG38" s="247" t="e">
        <f>IF(B38&lt;&gt;"",VLOOKUP(B38,'[9]IRR MES'!$C$5:$AK$600,18),"")</f>
        <v>#REF!</v>
      </c>
      <c r="BH38" s="181" t="e">
        <f>IF(B38&lt;&gt;"",VLOOKUP(B38,'[9]IRR MES'!$C$5:$AK$600,20),"")</f>
        <v>#REF!</v>
      </c>
      <c r="BI38" s="247" t="e">
        <f>IF(B38&lt;&gt;"",VLOOKUP(B38,'[9]IRR MES'!$C$5:$AK$600,21),"")</f>
        <v>#REF!</v>
      </c>
      <c r="BJ38" s="181" t="e">
        <f>IF(B38&lt;&gt;"",VLOOKUP(B38,'[9]IRR MES'!$C$5:$AK$600,23),"")</f>
        <v>#REF!</v>
      </c>
      <c r="BK38" s="247" t="e">
        <f>IF(B38&lt;&gt;"",VLOOKUP(B38,'[9]IRR MES'!$C$5:$AK$600,24),"")</f>
        <v>#REF!</v>
      </c>
      <c r="BL38" s="181" t="e">
        <f>IF(B38&lt;&gt;"",VLOOKUP(B38,'[9]IRR MES'!$C$5:$AK$600,26),"")</f>
        <v>#REF!</v>
      </c>
      <c r="BM38" s="247" t="e">
        <f>IF(B38&lt;&gt;"",VLOOKUP(B38,'[9]IRR MES'!$C$5:$AK$600,27),"")</f>
        <v>#REF!</v>
      </c>
      <c r="BN38" s="181" t="e">
        <f>IF(B38&lt;&gt;"",VLOOKUP(B38,'[9]IRR MES'!$C$5:$AK$600,29),"")</f>
        <v>#REF!</v>
      </c>
      <c r="BO38" s="247" t="e">
        <f>IF(B38&lt;&gt;"",VLOOKUP(B38,'[9]IRR MES'!$C$5:$AK$600,30),"")</f>
        <v>#REF!</v>
      </c>
      <c r="BP38" s="181" t="e">
        <f>IF(B38&lt;&gt;"",VLOOKUP(B38,'[9]IRR MES'!$C$5:$AK$600,32),"")</f>
        <v>#REF!</v>
      </c>
      <c r="BQ38" s="181" t="e">
        <f>IF(B38&lt;&gt;"",VLOOKUP(B38,'[9]IRR MES'!$C$5:$AK$600,33),"")</f>
        <v>#REF!</v>
      </c>
      <c r="BR38" s="181" t="e">
        <f t="shared" si="27"/>
        <v>#REF!</v>
      </c>
      <c r="BS38" s="181" t="e">
        <f>IF(B38&lt;&gt;"",VLOOKUP(B38,'[9]IRR MES'!$C$5:$AK$600,34),"")</f>
        <v>#REF!</v>
      </c>
      <c r="BT38" s="248" t="e">
        <f>IF(B38&lt;&gt;"",VLOOKUP(B38,'[9]IRR MES'!$C$1:$AK$600,4),"")</f>
        <v>#REF!</v>
      </c>
      <c r="BU38" s="248" t="e">
        <f>IF(B38&lt;&gt;"",VLOOKUP(B38,'[9]IRR MES'!$C$1:$AK$600,7),"")</f>
        <v>#REF!</v>
      </c>
      <c r="BV38" s="248" t="e">
        <f>IF(B38&lt;&gt;"",VLOOKUP(B38,'[9]IRR MES'!$C$1:$AK$600,10),"")</f>
        <v>#REF!</v>
      </c>
      <c r="BW38" s="248" t="e">
        <f>IF(B38&lt;&gt;"",VLOOKUP(B38,'[9]IRR MES'!$C$1:$AK$600,13),"")</f>
        <v>#REF!</v>
      </c>
      <c r="BX38" s="248" t="e">
        <f>IF(B38&lt;&gt;"",VLOOKUP(B38,'[9]IRR MES'!$C$1:$AK$600,16),"")</f>
        <v>#REF!</v>
      </c>
      <c r="BY38" s="248" t="e">
        <f>IF(B38&lt;&gt;"",VLOOKUP(B38,'[9]IRR MES'!$C$1:$AK$600,19),"")</f>
        <v>#REF!</v>
      </c>
      <c r="BZ38" s="248" t="e">
        <f>IF(B38&lt;&gt;"",VLOOKUP(B38,'[9]IRR MES'!$C$1:$AK$600,22),"")</f>
        <v>#REF!</v>
      </c>
      <c r="CA38" s="248" t="e">
        <f>IF(B38&lt;&gt;"",VLOOKUP(B38,'[9]IRR MES'!$C$1:$AK$600,25),"")</f>
        <v>#REF!</v>
      </c>
      <c r="CB38" s="248" t="e">
        <f>IF(B38&lt;&gt;"",VLOOKUP(B38,'[9]IRR MES'!$C$1:$AK$600,28),"")</f>
        <v>#REF!</v>
      </c>
      <c r="CC38" s="248" t="e">
        <f>IF(B38&lt;&gt;"",VLOOKUP(B38,'[9]IRR MES'!$C$1:$AK$600,31),"")</f>
        <v>#REF!</v>
      </c>
      <c r="CD38" s="249" t="e">
        <f>#REF!</f>
        <v>#REF!</v>
      </c>
    </row>
    <row r="39" spans="1:82" x14ac:dyDescent="0.2">
      <c r="A39" s="10" t="e">
        <f t="shared" si="2"/>
        <v>#REF!</v>
      </c>
      <c r="B39" s="50" t="e">
        <f>#REF!</f>
        <v>#REF!</v>
      </c>
      <c r="C39" s="38">
        <f>'LEVANTAMENTO DADOS'!B37</f>
        <v>5222.3999999999996</v>
      </c>
      <c r="D39" s="63" t="e">
        <f>'BASE DE CALCULO IR'!W39</f>
        <v>#REF!</v>
      </c>
      <c r="E39" s="63"/>
      <c r="F39" s="60"/>
      <c r="G39" s="63"/>
      <c r="H39" s="63"/>
      <c r="I39" s="63"/>
      <c r="J39" s="63"/>
      <c r="K39" s="61"/>
      <c r="L39" s="61"/>
      <c r="M39" s="61"/>
      <c r="N39" s="60"/>
      <c r="O39" s="60"/>
      <c r="P39" s="60"/>
      <c r="Q39" s="62"/>
      <c r="R39" s="62" t="e">
        <f t="shared" si="3"/>
        <v>#REF!</v>
      </c>
      <c r="S39" s="63" t="e">
        <f t="shared" si="4"/>
        <v>#REF!</v>
      </c>
      <c r="T39" s="250"/>
      <c r="U39" s="63" t="e">
        <f t="shared" si="5"/>
        <v>#REF!</v>
      </c>
      <c r="V39" s="63" t="e">
        <f>#REF!</f>
        <v>#REF!</v>
      </c>
      <c r="W39" s="63" t="e">
        <f t="shared" si="6"/>
        <v>#REF!</v>
      </c>
      <c r="X39" s="242" t="e">
        <f t="shared" si="7"/>
        <v>#REF!</v>
      </c>
      <c r="Y39" s="34" t="e">
        <f t="shared" si="28"/>
        <v>#REF!</v>
      </c>
      <c r="Z39" s="34" t="e">
        <f t="shared" si="8"/>
        <v>#REF!</v>
      </c>
      <c r="AA39" s="176" t="e">
        <f t="shared" si="9"/>
        <v>#REF!</v>
      </c>
      <c r="AB39" s="11" t="e">
        <f t="shared" si="10"/>
        <v>#REF!</v>
      </c>
      <c r="AC39" s="245" t="e">
        <f t="shared" si="11"/>
        <v>#REF!</v>
      </c>
      <c r="AD39" s="245" t="e">
        <f t="shared" si="12"/>
        <v>#REF!</v>
      </c>
      <c r="AE39" s="245"/>
      <c r="AF39" s="245" t="e">
        <f t="shared" si="13"/>
        <v>#REF!</v>
      </c>
      <c r="AG39" s="173" t="e">
        <f t="shared" si="14"/>
        <v>#REF!</v>
      </c>
      <c r="AH39" s="51" t="e">
        <f t="shared" si="15"/>
        <v>#REF!</v>
      </c>
      <c r="AI39" s="63" t="e">
        <f>IF(B39&lt;&gt;"",VLOOKUP(B39,'[9]IRR MES'!$C$15:$AK$600,32),"")</f>
        <v>#REF!</v>
      </c>
      <c r="AJ39" s="246" t="e">
        <f t="shared" si="16"/>
        <v>#REF!</v>
      </c>
      <c r="AK39" s="181" t="e">
        <f t="shared" si="17"/>
        <v>#REF!</v>
      </c>
      <c r="AL39" s="181" t="e">
        <f t="shared" si="18"/>
        <v>#REF!</v>
      </c>
      <c r="AM39" s="181" t="e">
        <f t="shared" si="19"/>
        <v>#REF!</v>
      </c>
      <c r="AN39" s="181" t="e">
        <f t="shared" si="20"/>
        <v>#REF!</v>
      </c>
      <c r="AO39" s="181" t="e">
        <f t="shared" si="21"/>
        <v>#REF!</v>
      </c>
      <c r="AP39" s="181" t="e">
        <f t="shared" si="22"/>
        <v>#REF!</v>
      </c>
      <c r="AQ39" s="181" t="e">
        <f t="shared" si="23"/>
        <v>#REF!</v>
      </c>
      <c r="AR39" s="181" t="e">
        <f t="shared" si="24"/>
        <v>#REF!</v>
      </c>
      <c r="AS39" s="181" t="e">
        <f t="shared" si="25"/>
        <v>#REF!</v>
      </c>
      <c r="AT39" s="181" t="e">
        <f t="shared" si="26"/>
        <v>#REF!</v>
      </c>
      <c r="AU39" s="181"/>
      <c r="AV39" s="63"/>
      <c r="AW39" s="181" t="e">
        <f>IF(B39&lt;&gt;"",VLOOKUP(B39,'[9]IRR MES'!$C$5:$AK$600,2),"")</f>
        <v>#REF!</v>
      </c>
      <c r="AX39" s="247" t="e">
        <f>IF(B39&lt;&gt;"",VLOOKUP(B39,'[9]IRR MES'!$C$5:$AK$600,3),"")</f>
        <v>#REF!</v>
      </c>
      <c r="AY39" s="181" t="e">
        <f>IF(B39&lt;&gt;"",VLOOKUP(B39,'[9]IRR MES'!$C$5:$AK$600,5),"")</f>
        <v>#REF!</v>
      </c>
      <c r="AZ39" s="247" t="e">
        <f>IF(B39&lt;&gt;"",VLOOKUP(B39,'[9]IRR MES'!$C$5:$AK$600,6),"")</f>
        <v>#REF!</v>
      </c>
      <c r="BA39" s="181" t="e">
        <f>IF(B39&lt;&gt;"",VLOOKUP(B39,'[9]IRR MES'!$C$5:$AK$600,8),"")</f>
        <v>#REF!</v>
      </c>
      <c r="BB39" s="247" t="e">
        <f>IF(B39&lt;&gt;"",VLOOKUP(B39,'[9]IRR MES'!$C$5:$AK$600,9),"")</f>
        <v>#REF!</v>
      </c>
      <c r="BC39" s="247" t="e">
        <f>IF(B39&lt;&gt;"",VLOOKUP(B39,'[9]IRR MES'!$C$5:$AK$600,12),"")</f>
        <v>#REF!</v>
      </c>
      <c r="BD39" s="181" t="e">
        <f>IF(B39&lt;&gt;"",VLOOKUP(B39,'[9]IRR MES'!$C$5:$AK$600,14),"")</f>
        <v>#REF!</v>
      </c>
      <c r="BE39" s="247" t="e">
        <f>IF(B39&lt;&gt;"",VLOOKUP(B39,'[9]IRR MES'!$C$5:$AK$600,15),"")</f>
        <v>#REF!</v>
      </c>
      <c r="BF39" s="181" t="e">
        <f>IF(B39&lt;&gt;"",VLOOKUP(B39,'[9]IRR MES'!$C$5:$AK$600,17),"")</f>
        <v>#REF!</v>
      </c>
      <c r="BG39" s="247" t="e">
        <f>IF(B39&lt;&gt;"",VLOOKUP(B39,'[9]IRR MES'!$C$5:$AK$600,18),"")</f>
        <v>#REF!</v>
      </c>
      <c r="BH39" s="181" t="e">
        <f>IF(B39&lt;&gt;"",VLOOKUP(B39,'[9]IRR MES'!$C$5:$AK$600,20),"")</f>
        <v>#REF!</v>
      </c>
      <c r="BI39" s="247" t="e">
        <f>IF(B39&lt;&gt;"",VLOOKUP(B39,'[9]IRR MES'!$C$5:$AK$600,21),"")</f>
        <v>#REF!</v>
      </c>
      <c r="BJ39" s="181" t="e">
        <f>IF(B39&lt;&gt;"",VLOOKUP(B39,'[9]IRR MES'!$C$5:$AK$600,23),"")</f>
        <v>#REF!</v>
      </c>
      <c r="BK39" s="247" t="e">
        <f>IF(B39&lt;&gt;"",VLOOKUP(B39,'[9]IRR MES'!$C$5:$AK$600,24),"")</f>
        <v>#REF!</v>
      </c>
      <c r="BL39" s="181" t="e">
        <f>IF(B39&lt;&gt;"",VLOOKUP(B39,'[9]IRR MES'!$C$5:$AK$600,26),"")</f>
        <v>#REF!</v>
      </c>
      <c r="BM39" s="247" t="e">
        <f>IF(B39&lt;&gt;"",VLOOKUP(B39,'[9]IRR MES'!$C$5:$AK$600,27),"")</f>
        <v>#REF!</v>
      </c>
      <c r="BN39" s="181" t="e">
        <f>IF(B39&lt;&gt;"",VLOOKUP(B39,'[9]IRR MES'!$C$5:$AK$600,29),"")</f>
        <v>#REF!</v>
      </c>
      <c r="BO39" s="247" t="e">
        <f>IF(B39&lt;&gt;"",VLOOKUP(B39,'[9]IRR MES'!$C$5:$AK$600,30),"")</f>
        <v>#REF!</v>
      </c>
      <c r="BP39" s="181" t="e">
        <f>IF(B39&lt;&gt;"",VLOOKUP(B39,'[9]IRR MES'!$C$5:$AK$600,32),"")</f>
        <v>#REF!</v>
      </c>
      <c r="BQ39" s="181" t="e">
        <f>IF(B39&lt;&gt;"",VLOOKUP(B39,'[9]IRR MES'!$C$5:$AK$600,33),"")</f>
        <v>#REF!</v>
      </c>
      <c r="BR39" s="181" t="e">
        <f t="shared" si="27"/>
        <v>#REF!</v>
      </c>
      <c r="BS39" s="181" t="e">
        <f>IF(B39&lt;&gt;"",VLOOKUP(B39,'[9]IRR MES'!$C$5:$AK$600,34),"")</f>
        <v>#REF!</v>
      </c>
      <c r="BT39" s="248" t="e">
        <f>IF(B39&lt;&gt;"",VLOOKUP(B39,'[9]IRR MES'!$C$1:$AK$600,4),"")</f>
        <v>#REF!</v>
      </c>
      <c r="BU39" s="248" t="e">
        <f>IF(B39&lt;&gt;"",VLOOKUP(B39,'[9]IRR MES'!$C$1:$AK$600,7),"")</f>
        <v>#REF!</v>
      </c>
      <c r="BV39" s="248" t="e">
        <f>IF(B39&lt;&gt;"",VLOOKUP(B39,'[9]IRR MES'!$C$1:$AK$600,10),"")</f>
        <v>#REF!</v>
      </c>
      <c r="BW39" s="248" t="e">
        <f>IF(B39&lt;&gt;"",VLOOKUP(B39,'[9]IRR MES'!$C$1:$AK$600,13),"")</f>
        <v>#REF!</v>
      </c>
      <c r="BX39" s="248" t="e">
        <f>IF(B39&lt;&gt;"",VLOOKUP(B39,'[9]IRR MES'!$C$1:$AK$600,16),"")</f>
        <v>#REF!</v>
      </c>
      <c r="BY39" s="248" t="e">
        <f>IF(B39&lt;&gt;"",VLOOKUP(B39,'[9]IRR MES'!$C$1:$AK$600,19),"")</f>
        <v>#REF!</v>
      </c>
      <c r="BZ39" s="248" t="e">
        <f>IF(B39&lt;&gt;"",VLOOKUP(B39,'[9]IRR MES'!$C$1:$AK$600,22),"")</f>
        <v>#REF!</v>
      </c>
      <c r="CA39" s="248" t="e">
        <f>IF(B39&lt;&gt;"",VLOOKUP(B39,'[9]IRR MES'!$C$1:$AK$600,25),"")</f>
        <v>#REF!</v>
      </c>
      <c r="CB39" s="248" t="e">
        <f>IF(B39&lt;&gt;"",VLOOKUP(B39,'[9]IRR MES'!$C$1:$AK$600,28),"")</f>
        <v>#REF!</v>
      </c>
      <c r="CC39" s="248" t="e">
        <f>IF(B39&lt;&gt;"",VLOOKUP(B39,'[9]IRR MES'!$C$1:$AK$600,31),"")</f>
        <v>#REF!</v>
      </c>
      <c r="CD39" s="249" t="e">
        <f>#REF!</f>
        <v>#REF!</v>
      </c>
    </row>
    <row r="40" spans="1:82" x14ac:dyDescent="0.2">
      <c r="A40" s="10" t="e">
        <f t="shared" ref="A40:A78" si="29">IF(B40&lt;&gt;"","sim","não")</f>
        <v>#REF!</v>
      </c>
      <c r="B40" s="50" t="e">
        <f>#REF!</f>
        <v>#REF!</v>
      </c>
      <c r="C40" s="38">
        <f>'LEVANTAMENTO DADOS'!B38</f>
        <v>3815.13</v>
      </c>
      <c r="D40" s="63" t="e">
        <f>'BASE DE CALCULO IR'!W40</f>
        <v>#REF!</v>
      </c>
      <c r="E40" s="63"/>
      <c r="F40" s="60"/>
      <c r="G40" s="63"/>
      <c r="H40" s="63"/>
      <c r="I40" s="63"/>
      <c r="J40" s="63"/>
      <c r="K40" s="61"/>
      <c r="L40" s="61"/>
      <c r="M40" s="61"/>
      <c r="N40" s="60"/>
      <c r="O40" s="60"/>
      <c r="P40" s="60"/>
      <c r="Q40" s="62"/>
      <c r="R40" s="62" t="e">
        <f t="shared" ref="R40:R63" si="30">SUM(C40:Q40)</f>
        <v>#REF!</v>
      </c>
      <c r="S40" s="63" t="e">
        <f t="shared" ref="S40:S63" si="31">IF(C40&lt;&gt;"",C40+R40,R40)</f>
        <v>#REF!</v>
      </c>
      <c r="T40" s="250"/>
      <c r="U40" s="63" t="e">
        <f t="shared" ref="U40:U63" si="32">IF(B40&lt;&gt;"",AI40*T40,"")</f>
        <v>#REF!</v>
      </c>
      <c r="V40" s="63" t="e">
        <f>#REF!</f>
        <v>#REF!</v>
      </c>
      <c r="W40" s="63" t="e">
        <f t="shared" ref="W40:W63" si="33">IF(C40&lt;&gt;"",IF(AND(AE40&gt;0,R40&gt;0),S40-U40-V40,IF(AI40&lt;&gt;"",R40-U40-V40)),IF(C40="",IF(AI40&lt;&gt;"",R40-U40-V40)))</f>
        <v>#REF!</v>
      </c>
      <c r="X40" s="242" t="e">
        <f t="shared" ref="X40:X63" si="34">SUM(D40:Q40)-U40-V40</f>
        <v>#REF!</v>
      </c>
      <c r="Y40" s="34" t="e">
        <f t="shared" si="28"/>
        <v>#REF!</v>
      </c>
      <c r="Z40" s="34" t="e">
        <f t="shared" ref="Z40:Z63" si="35">X40</f>
        <v>#REF!</v>
      </c>
      <c r="AA40" s="176" t="e">
        <f t="shared" ref="AA40:AA71" si="36">IF(B40&lt;&gt;"",IF(R40&gt;Y40,LOOKUP(R40,AW40:BO40,AW40:BS40),""),"")</f>
        <v>#REF!</v>
      </c>
      <c r="AB40" s="11" t="e">
        <f t="shared" ref="AB40:AB63" si="37">IF(W40&gt;Y40,X40*AA40,0)</f>
        <v>#REF!</v>
      </c>
      <c r="AC40" s="245" t="e">
        <f t="shared" ref="AC40:AC63" si="38">IF(B40&lt;&gt;"",MAX(AK40:AU40),"")</f>
        <v>#REF!</v>
      </c>
      <c r="AD40" s="245" t="e">
        <f t="shared" ref="AD40:AD63" si="39">IF(AA40&lt;&gt;"",(X40*AA40)-AC40,"ISENTO")</f>
        <v>#REF!</v>
      </c>
      <c r="AE40" s="245"/>
      <c r="AF40" s="245" t="e">
        <f t="shared" ref="AF40:AF63" si="40">IF(AD40&lt;&gt;"isento",AD40-AE40,0)</f>
        <v>#REF!</v>
      </c>
      <c r="AG40" s="173" t="e">
        <f t="shared" ref="AG40:AG63" si="41">CD40</f>
        <v>#REF!</v>
      </c>
      <c r="AH40" s="51" t="e">
        <f t="shared" ref="AH40:AH63" si="42">IF(AF40&gt;0,AF40*CD40,0)</f>
        <v>#REF!</v>
      </c>
      <c r="AI40" s="63" t="e">
        <f>IF(B40&lt;&gt;"",VLOOKUP(B40,'[9]IRR MES'!$C$15:$AK$600,32),"")</f>
        <v>#REF!</v>
      </c>
      <c r="AJ40" s="246" t="e">
        <f t="shared" ref="AJ40:AJ63" si="43">B40</f>
        <v>#REF!</v>
      </c>
      <c r="AK40" s="181" t="e">
        <f t="shared" ref="AK40:AK63" si="44">IF(B40&lt;&gt;"",IF(AA40=AX40,BT40,""),"")</f>
        <v>#REF!</v>
      </c>
      <c r="AL40" s="181" t="e">
        <f t="shared" ref="AL40:AL63" si="45">IF(B40&lt;&gt;"",IF(AA40=AZ40,BU40,""),"")</f>
        <v>#REF!</v>
      </c>
      <c r="AM40" s="181" t="e">
        <f t="shared" ref="AM40:AM63" si="46">IF(B40&lt;&gt;"",IF(AA40=BB40,BV40,""),"")</f>
        <v>#REF!</v>
      </c>
      <c r="AN40" s="181" t="e">
        <f t="shared" ref="AN40:AN63" si="47">IF(B40&lt;&gt;"",IF(AA40=BC40,BW40,""),"")</f>
        <v>#REF!</v>
      </c>
      <c r="AO40" s="181" t="e">
        <f t="shared" ref="AO40:AO63" si="48">IF(B40&lt;&gt;"",IF(AA40=BE40,BX40,""),"")</f>
        <v>#REF!</v>
      </c>
      <c r="AP40" s="181" t="e">
        <f t="shared" ref="AP40:AP63" si="49">IF(B40&lt;&gt;"",IF(AA40=BG40,BY40,""),"")</f>
        <v>#REF!</v>
      </c>
      <c r="AQ40" s="181" t="e">
        <f t="shared" ref="AQ40:AQ63" si="50">IF(B40&lt;&gt;"",IF(AA40=BI40,BZ40,""),"")</f>
        <v>#REF!</v>
      </c>
      <c r="AR40" s="181" t="e">
        <f t="shared" ref="AR40:AR63" si="51">IF(B40&lt;&gt;"",IF(AA40=BK40,CA40,""),"")</f>
        <v>#REF!</v>
      </c>
      <c r="AS40" s="181" t="e">
        <f t="shared" ref="AS40:AS63" si="52">IF(B40&lt;&gt;"",IF(AA40=BM40,CB40,""),"")</f>
        <v>#REF!</v>
      </c>
      <c r="AT40" s="181" t="e">
        <f t="shared" ref="AT40:AT63" si="53">IF(B40&lt;&gt;"",IF(AA40=BO40,CC40,""),"")</f>
        <v>#REF!</v>
      </c>
      <c r="AU40" s="181"/>
      <c r="AV40" s="63"/>
      <c r="AW40" s="181" t="e">
        <f>IF(B40&lt;&gt;"",VLOOKUP(B40,'[9]IRR MES'!$C$5:$AK$600,2),"")</f>
        <v>#REF!</v>
      </c>
      <c r="AX40" s="247" t="e">
        <f>IF(B40&lt;&gt;"",VLOOKUP(B40,'[9]IRR MES'!$C$5:$AK$600,3),"")</f>
        <v>#REF!</v>
      </c>
      <c r="AY40" s="181" t="e">
        <f>IF(B40&lt;&gt;"",VLOOKUP(B40,'[9]IRR MES'!$C$5:$AK$600,5),"")</f>
        <v>#REF!</v>
      </c>
      <c r="AZ40" s="247" t="e">
        <f>IF(B40&lt;&gt;"",VLOOKUP(B40,'[9]IRR MES'!$C$5:$AK$600,6),"")</f>
        <v>#REF!</v>
      </c>
      <c r="BA40" s="181" t="e">
        <f>IF(B40&lt;&gt;"",VLOOKUP(B40,'[9]IRR MES'!$C$5:$AK$600,8),"")</f>
        <v>#REF!</v>
      </c>
      <c r="BB40" s="247" t="e">
        <f>IF(B40&lt;&gt;"",VLOOKUP(B40,'[9]IRR MES'!$C$5:$AK$600,9),"")</f>
        <v>#REF!</v>
      </c>
      <c r="BC40" s="247" t="e">
        <f>IF(B40&lt;&gt;"",VLOOKUP(B40,'[9]IRR MES'!$C$5:$AK$600,12),"")</f>
        <v>#REF!</v>
      </c>
      <c r="BD40" s="181" t="e">
        <f>IF(B40&lt;&gt;"",VLOOKUP(B40,'[9]IRR MES'!$C$5:$AK$600,14),"")</f>
        <v>#REF!</v>
      </c>
      <c r="BE40" s="247" t="e">
        <f>IF(B40&lt;&gt;"",VLOOKUP(B40,'[9]IRR MES'!$C$5:$AK$600,15),"")</f>
        <v>#REF!</v>
      </c>
      <c r="BF40" s="181" t="e">
        <f>IF(B40&lt;&gt;"",VLOOKUP(B40,'[9]IRR MES'!$C$5:$AK$600,17),"")</f>
        <v>#REF!</v>
      </c>
      <c r="BG40" s="247" t="e">
        <f>IF(B40&lt;&gt;"",VLOOKUP(B40,'[9]IRR MES'!$C$5:$AK$600,18),"")</f>
        <v>#REF!</v>
      </c>
      <c r="BH40" s="181" t="e">
        <f>IF(B40&lt;&gt;"",VLOOKUP(B40,'[9]IRR MES'!$C$5:$AK$600,20),"")</f>
        <v>#REF!</v>
      </c>
      <c r="BI40" s="247" t="e">
        <f>IF(B40&lt;&gt;"",VLOOKUP(B40,'[9]IRR MES'!$C$5:$AK$600,21),"")</f>
        <v>#REF!</v>
      </c>
      <c r="BJ40" s="181" t="e">
        <f>IF(B40&lt;&gt;"",VLOOKUP(B40,'[9]IRR MES'!$C$5:$AK$600,23),"")</f>
        <v>#REF!</v>
      </c>
      <c r="BK40" s="247" t="e">
        <f>IF(B40&lt;&gt;"",VLOOKUP(B40,'[9]IRR MES'!$C$5:$AK$600,24),"")</f>
        <v>#REF!</v>
      </c>
      <c r="BL40" s="181" t="e">
        <f>IF(B40&lt;&gt;"",VLOOKUP(B40,'[9]IRR MES'!$C$5:$AK$600,26),"")</f>
        <v>#REF!</v>
      </c>
      <c r="BM40" s="247" t="e">
        <f>IF(B40&lt;&gt;"",VLOOKUP(B40,'[9]IRR MES'!$C$5:$AK$600,27),"")</f>
        <v>#REF!</v>
      </c>
      <c r="BN40" s="181" t="e">
        <f>IF(B40&lt;&gt;"",VLOOKUP(B40,'[9]IRR MES'!$C$5:$AK$600,29),"")</f>
        <v>#REF!</v>
      </c>
      <c r="BO40" s="247" t="e">
        <f>IF(B40&lt;&gt;"",VLOOKUP(B40,'[9]IRR MES'!$C$5:$AK$600,30),"")</f>
        <v>#REF!</v>
      </c>
      <c r="BP40" s="181" t="e">
        <f>IF(B40&lt;&gt;"",VLOOKUP(B40,'[9]IRR MES'!$C$5:$AK$600,32),"")</f>
        <v>#REF!</v>
      </c>
      <c r="BQ40" s="181" t="e">
        <f>IF(B40&lt;&gt;"",VLOOKUP(B40,'[9]IRR MES'!$C$5:$AK$600,33),"")</f>
        <v>#REF!</v>
      </c>
      <c r="BR40" s="181" t="e">
        <f t="shared" ref="BR40:BR67" si="54">IF(B40&lt;&gt;"",VLOOKUP(B40,$D$5:$AO$611,34),"")</f>
        <v>#REF!</v>
      </c>
      <c r="BS40" s="181" t="e">
        <f>IF(B40&lt;&gt;"",VLOOKUP(B40,'[9]IRR MES'!$C$5:$AK$600,34),"")</f>
        <v>#REF!</v>
      </c>
      <c r="BT40" s="248" t="e">
        <f>IF(B40&lt;&gt;"",VLOOKUP(B40,'[9]IRR MES'!$C$1:$AK$600,4),"")</f>
        <v>#REF!</v>
      </c>
      <c r="BU40" s="248" t="e">
        <f>IF(B40&lt;&gt;"",VLOOKUP(B40,'[9]IRR MES'!$C$1:$AK$600,7),"")</f>
        <v>#REF!</v>
      </c>
      <c r="BV40" s="248" t="e">
        <f>IF(B40&lt;&gt;"",VLOOKUP(B40,'[9]IRR MES'!$C$1:$AK$600,10),"")</f>
        <v>#REF!</v>
      </c>
      <c r="BW40" s="248" t="e">
        <f>IF(B40&lt;&gt;"",VLOOKUP(B40,'[9]IRR MES'!$C$1:$AK$600,13),"")</f>
        <v>#REF!</v>
      </c>
      <c r="BX40" s="248" t="e">
        <f>IF(B40&lt;&gt;"",VLOOKUP(B40,'[9]IRR MES'!$C$1:$AK$600,16),"")</f>
        <v>#REF!</v>
      </c>
      <c r="BY40" s="248" t="e">
        <f>IF(B40&lt;&gt;"",VLOOKUP(B40,'[9]IRR MES'!$C$1:$AK$600,19),"")</f>
        <v>#REF!</v>
      </c>
      <c r="BZ40" s="248" t="e">
        <f>IF(B40&lt;&gt;"",VLOOKUP(B40,'[9]IRR MES'!$C$1:$AK$600,22),"")</f>
        <v>#REF!</v>
      </c>
      <c r="CA40" s="248" t="e">
        <f>IF(B40&lt;&gt;"",VLOOKUP(B40,'[9]IRR MES'!$C$1:$AK$600,25),"")</f>
        <v>#REF!</v>
      </c>
      <c r="CB40" s="248" t="e">
        <f>IF(B40&lt;&gt;"",VLOOKUP(B40,'[9]IRR MES'!$C$1:$AK$600,28),"")</f>
        <v>#REF!</v>
      </c>
      <c r="CC40" s="248" t="e">
        <f>IF(B40&lt;&gt;"",VLOOKUP(B40,'[9]IRR MES'!$C$1:$AK$600,31),"")</f>
        <v>#REF!</v>
      </c>
      <c r="CD40" s="249" t="e">
        <f>#REF!</f>
        <v>#REF!</v>
      </c>
    </row>
    <row r="41" spans="1:82" x14ac:dyDescent="0.2">
      <c r="A41" s="10" t="e">
        <f t="shared" si="29"/>
        <v>#REF!</v>
      </c>
      <c r="B41" s="50" t="e">
        <f>#REF!</f>
        <v>#REF!</v>
      </c>
      <c r="C41" s="38">
        <f>'LEVANTAMENTO DADOS'!B39</f>
        <v>4904.05</v>
      </c>
      <c r="D41" s="63" t="e">
        <f>'BASE DE CALCULO IR'!W41</f>
        <v>#REF!</v>
      </c>
      <c r="E41" s="63"/>
      <c r="F41" s="60"/>
      <c r="G41" s="63"/>
      <c r="H41" s="63"/>
      <c r="I41" s="63"/>
      <c r="J41" s="63"/>
      <c r="K41" s="61"/>
      <c r="L41" s="61"/>
      <c r="M41" s="61"/>
      <c r="N41" s="60"/>
      <c r="O41" s="60"/>
      <c r="P41" s="60"/>
      <c r="Q41" s="62"/>
      <c r="R41" s="62" t="e">
        <f t="shared" si="30"/>
        <v>#REF!</v>
      </c>
      <c r="S41" s="63" t="e">
        <f t="shared" si="31"/>
        <v>#REF!</v>
      </c>
      <c r="T41" s="250"/>
      <c r="U41" s="63" t="e">
        <f t="shared" si="32"/>
        <v>#REF!</v>
      </c>
      <c r="V41" s="63" t="e">
        <f>#REF!</f>
        <v>#REF!</v>
      </c>
      <c r="W41" s="63" t="e">
        <f t="shared" si="33"/>
        <v>#REF!</v>
      </c>
      <c r="X41" s="242" t="e">
        <f t="shared" si="34"/>
        <v>#REF!</v>
      </c>
      <c r="Y41" s="34" t="e">
        <f t="shared" si="28"/>
        <v>#REF!</v>
      </c>
      <c r="Z41" s="34" t="e">
        <f t="shared" si="35"/>
        <v>#REF!</v>
      </c>
      <c r="AA41" s="176" t="e">
        <f t="shared" si="36"/>
        <v>#REF!</v>
      </c>
      <c r="AB41" s="11" t="e">
        <f t="shared" si="37"/>
        <v>#REF!</v>
      </c>
      <c r="AC41" s="245" t="e">
        <f t="shared" si="38"/>
        <v>#REF!</v>
      </c>
      <c r="AD41" s="245" t="e">
        <f t="shared" si="39"/>
        <v>#REF!</v>
      </c>
      <c r="AE41" s="245"/>
      <c r="AF41" s="245" t="e">
        <f t="shared" si="40"/>
        <v>#REF!</v>
      </c>
      <c r="AG41" s="173" t="e">
        <f t="shared" si="41"/>
        <v>#REF!</v>
      </c>
      <c r="AH41" s="51" t="e">
        <f t="shared" si="42"/>
        <v>#REF!</v>
      </c>
      <c r="AI41" s="63" t="e">
        <f>IF(B41&lt;&gt;"",VLOOKUP(B41,'[9]IRR MES'!$C$15:$AK$600,32),"")</f>
        <v>#REF!</v>
      </c>
      <c r="AJ41" s="246" t="e">
        <f t="shared" si="43"/>
        <v>#REF!</v>
      </c>
      <c r="AK41" s="181" t="e">
        <f t="shared" si="44"/>
        <v>#REF!</v>
      </c>
      <c r="AL41" s="181" t="e">
        <f t="shared" si="45"/>
        <v>#REF!</v>
      </c>
      <c r="AM41" s="181" t="e">
        <f t="shared" si="46"/>
        <v>#REF!</v>
      </c>
      <c r="AN41" s="181" t="e">
        <f t="shared" si="47"/>
        <v>#REF!</v>
      </c>
      <c r="AO41" s="181" t="e">
        <f t="shared" si="48"/>
        <v>#REF!</v>
      </c>
      <c r="AP41" s="181" t="e">
        <f t="shared" si="49"/>
        <v>#REF!</v>
      </c>
      <c r="AQ41" s="181" t="e">
        <f t="shared" si="50"/>
        <v>#REF!</v>
      </c>
      <c r="AR41" s="181" t="e">
        <f t="shared" si="51"/>
        <v>#REF!</v>
      </c>
      <c r="AS41" s="181" t="e">
        <f t="shared" si="52"/>
        <v>#REF!</v>
      </c>
      <c r="AT41" s="181" t="e">
        <f t="shared" si="53"/>
        <v>#REF!</v>
      </c>
      <c r="AU41" s="181"/>
      <c r="AV41" s="63"/>
      <c r="AW41" s="181" t="e">
        <f>IF(B41&lt;&gt;"",VLOOKUP(B41,'[9]IRR MES'!$C$5:$AK$600,2),"")</f>
        <v>#REF!</v>
      </c>
      <c r="AX41" s="247" t="e">
        <f>IF(B41&lt;&gt;"",VLOOKUP(B41,'[9]IRR MES'!$C$5:$AK$600,3),"")</f>
        <v>#REF!</v>
      </c>
      <c r="AY41" s="181" t="e">
        <f>IF(B41&lt;&gt;"",VLOOKUP(B41,'[9]IRR MES'!$C$5:$AK$600,5),"")</f>
        <v>#REF!</v>
      </c>
      <c r="AZ41" s="247" t="e">
        <f>IF(B41&lt;&gt;"",VLOOKUP(B41,'[9]IRR MES'!$C$5:$AK$600,6),"")</f>
        <v>#REF!</v>
      </c>
      <c r="BA41" s="181" t="e">
        <f>IF(B41&lt;&gt;"",VLOOKUP(B41,'[9]IRR MES'!$C$5:$AK$600,8),"")</f>
        <v>#REF!</v>
      </c>
      <c r="BB41" s="247" t="e">
        <f>IF(B41&lt;&gt;"",VLOOKUP(B41,'[9]IRR MES'!$C$5:$AK$600,9),"")</f>
        <v>#REF!</v>
      </c>
      <c r="BC41" s="247" t="e">
        <f>IF(B41&lt;&gt;"",VLOOKUP(B41,'[9]IRR MES'!$C$5:$AK$600,12),"")</f>
        <v>#REF!</v>
      </c>
      <c r="BD41" s="181" t="e">
        <f>IF(B41&lt;&gt;"",VLOOKUP(B41,'[9]IRR MES'!$C$5:$AK$600,14),"")</f>
        <v>#REF!</v>
      </c>
      <c r="BE41" s="247" t="e">
        <f>IF(B41&lt;&gt;"",VLOOKUP(B41,'[9]IRR MES'!$C$5:$AK$600,15),"")</f>
        <v>#REF!</v>
      </c>
      <c r="BF41" s="181" t="e">
        <f>IF(B41&lt;&gt;"",VLOOKUP(B41,'[9]IRR MES'!$C$5:$AK$600,17),"")</f>
        <v>#REF!</v>
      </c>
      <c r="BG41" s="247" t="e">
        <f>IF(B41&lt;&gt;"",VLOOKUP(B41,'[9]IRR MES'!$C$5:$AK$600,18),"")</f>
        <v>#REF!</v>
      </c>
      <c r="BH41" s="181" t="e">
        <f>IF(B41&lt;&gt;"",VLOOKUP(B41,'[9]IRR MES'!$C$5:$AK$600,20),"")</f>
        <v>#REF!</v>
      </c>
      <c r="BI41" s="247" t="e">
        <f>IF(B41&lt;&gt;"",VLOOKUP(B41,'[9]IRR MES'!$C$5:$AK$600,21),"")</f>
        <v>#REF!</v>
      </c>
      <c r="BJ41" s="181" t="e">
        <f>IF(B41&lt;&gt;"",VLOOKUP(B41,'[9]IRR MES'!$C$5:$AK$600,23),"")</f>
        <v>#REF!</v>
      </c>
      <c r="BK41" s="247" t="e">
        <f>IF(B41&lt;&gt;"",VLOOKUP(B41,'[9]IRR MES'!$C$5:$AK$600,24),"")</f>
        <v>#REF!</v>
      </c>
      <c r="BL41" s="181" t="e">
        <f>IF(B41&lt;&gt;"",VLOOKUP(B41,'[9]IRR MES'!$C$5:$AK$600,26),"")</f>
        <v>#REF!</v>
      </c>
      <c r="BM41" s="247" t="e">
        <f>IF(B41&lt;&gt;"",VLOOKUP(B41,'[9]IRR MES'!$C$5:$AK$600,27),"")</f>
        <v>#REF!</v>
      </c>
      <c r="BN41" s="181" t="e">
        <f>IF(B41&lt;&gt;"",VLOOKUP(B41,'[9]IRR MES'!$C$5:$AK$600,29),"")</f>
        <v>#REF!</v>
      </c>
      <c r="BO41" s="247" t="e">
        <f>IF(B41&lt;&gt;"",VLOOKUP(B41,'[9]IRR MES'!$C$5:$AK$600,30),"")</f>
        <v>#REF!</v>
      </c>
      <c r="BP41" s="181" t="e">
        <f>IF(B41&lt;&gt;"",VLOOKUP(B41,'[9]IRR MES'!$C$5:$AK$600,32),"")</f>
        <v>#REF!</v>
      </c>
      <c r="BQ41" s="181" t="e">
        <f>IF(B41&lt;&gt;"",VLOOKUP(B41,'[9]IRR MES'!$C$5:$AK$600,33),"")</f>
        <v>#REF!</v>
      </c>
      <c r="BR41" s="181" t="e">
        <f t="shared" si="54"/>
        <v>#REF!</v>
      </c>
      <c r="BS41" s="181" t="e">
        <f>IF(B41&lt;&gt;"",VLOOKUP(B41,'[9]IRR MES'!$C$5:$AK$600,34),"")</f>
        <v>#REF!</v>
      </c>
      <c r="BT41" s="248" t="e">
        <f>IF(B41&lt;&gt;"",VLOOKUP(B41,'[9]IRR MES'!$C$1:$AK$600,4),"")</f>
        <v>#REF!</v>
      </c>
      <c r="BU41" s="248" t="e">
        <f>IF(B41&lt;&gt;"",VLOOKUP(B41,'[9]IRR MES'!$C$1:$AK$600,7),"")</f>
        <v>#REF!</v>
      </c>
      <c r="BV41" s="248" t="e">
        <f>IF(B41&lt;&gt;"",VLOOKUP(B41,'[9]IRR MES'!$C$1:$AK$600,10),"")</f>
        <v>#REF!</v>
      </c>
      <c r="BW41" s="248" t="e">
        <f>IF(B41&lt;&gt;"",VLOOKUP(B41,'[9]IRR MES'!$C$1:$AK$600,13),"")</f>
        <v>#REF!</v>
      </c>
      <c r="BX41" s="248" t="e">
        <f>IF(B41&lt;&gt;"",VLOOKUP(B41,'[9]IRR MES'!$C$1:$AK$600,16),"")</f>
        <v>#REF!</v>
      </c>
      <c r="BY41" s="248" t="e">
        <f>IF(B41&lt;&gt;"",VLOOKUP(B41,'[9]IRR MES'!$C$1:$AK$600,19),"")</f>
        <v>#REF!</v>
      </c>
      <c r="BZ41" s="248" t="e">
        <f>IF(B41&lt;&gt;"",VLOOKUP(B41,'[9]IRR MES'!$C$1:$AK$600,22),"")</f>
        <v>#REF!</v>
      </c>
      <c r="CA41" s="248" t="e">
        <f>IF(B41&lt;&gt;"",VLOOKUP(B41,'[9]IRR MES'!$C$1:$AK$600,25),"")</f>
        <v>#REF!</v>
      </c>
      <c r="CB41" s="248" t="e">
        <f>IF(B41&lt;&gt;"",VLOOKUP(B41,'[9]IRR MES'!$C$1:$AK$600,28),"")</f>
        <v>#REF!</v>
      </c>
      <c r="CC41" s="248" t="e">
        <f>IF(B41&lt;&gt;"",VLOOKUP(B41,'[9]IRR MES'!$C$1:$AK$600,31),"")</f>
        <v>#REF!</v>
      </c>
      <c r="CD41" s="249" t="e">
        <f>#REF!</f>
        <v>#REF!</v>
      </c>
    </row>
    <row r="42" spans="1:82" x14ac:dyDescent="0.2">
      <c r="A42" s="10" t="e">
        <f t="shared" si="29"/>
        <v>#REF!</v>
      </c>
      <c r="B42" s="50" t="e">
        <f>#REF!</f>
        <v>#REF!</v>
      </c>
      <c r="C42" s="38">
        <f>'LEVANTAMENTO DADOS'!B40</f>
        <v>5206.26</v>
      </c>
      <c r="D42" s="63" t="e">
        <f>'BASE DE CALCULO IR'!W42</f>
        <v>#REF!</v>
      </c>
      <c r="E42" s="63"/>
      <c r="F42" s="60"/>
      <c r="G42" s="63"/>
      <c r="H42" s="63"/>
      <c r="I42" s="63"/>
      <c r="J42" s="63"/>
      <c r="K42" s="61"/>
      <c r="L42" s="61"/>
      <c r="M42" s="61"/>
      <c r="N42" s="60"/>
      <c r="O42" s="60"/>
      <c r="P42" s="60"/>
      <c r="Q42" s="62"/>
      <c r="R42" s="62" t="e">
        <f t="shared" si="30"/>
        <v>#REF!</v>
      </c>
      <c r="S42" s="63" t="e">
        <f t="shared" si="31"/>
        <v>#REF!</v>
      </c>
      <c r="T42" s="250"/>
      <c r="U42" s="63" t="e">
        <f t="shared" si="32"/>
        <v>#REF!</v>
      </c>
      <c r="V42" s="63" t="e">
        <f>#REF!</f>
        <v>#REF!</v>
      </c>
      <c r="W42" s="63" t="e">
        <f t="shared" si="33"/>
        <v>#REF!</v>
      </c>
      <c r="X42" s="242" t="e">
        <f t="shared" si="34"/>
        <v>#REF!</v>
      </c>
      <c r="Y42" s="34" t="e">
        <f t="shared" si="28"/>
        <v>#REF!</v>
      </c>
      <c r="Z42" s="34" t="e">
        <f t="shared" si="35"/>
        <v>#REF!</v>
      </c>
      <c r="AA42" s="176" t="e">
        <f t="shared" si="36"/>
        <v>#REF!</v>
      </c>
      <c r="AB42" s="11" t="e">
        <f t="shared" si="37"/>
        <v>#REF!</v>
      </c>
      <c r="AC42" s="245" t="e">
        <f t="shared" si="38"/>
        <v>#REF!</v>
      </c>
      <c r="AD42" s="245" t="e">
        <f t="shared" si="39"/>
        <v>#REF!</v>
      </c>
      <c r="AE42" s="245"/>
      <c r="AF42" s="245" t="e">
        <f t="shared" si="40"/>
        <v>#REF!</v>
      </c>
      <c r="AG42" s="173" t="e">
        <f t="shared" si="41"/>
        <v>#REF!</v>
      </c>
      <c r="AH42" s="51" t="e">
        <f t="shared" si="42"/>
        <v>#REF!</v>
      </c>
      <c r="AI42" s="63" t="e">
        <f>IF(B42&lt;&gt;"",VLOOKUP(B42,'[9]IRR MES'!$C$15:$AK$600,32),"")</f>
        <v>#REF!</v>
      </c>
      <c r="AJ42" s="246" t="e">
        <f t="shared" si="43"/>
        <v>#REF!</v>
      </c>
      <c r="AK42" s="181" t="e">
        <f t="shared" si="44"/>
        <v>#REF!</v>
      </c>
      <c r="AL42" s="181" t="e">
        <f t="shared" si="45"/>
        <v>#REF!</v>
      </c>
      <c r="AM42" s="181" t="e">
        <f t="shared" si="46"/>
        <v>#REF!</v>
      </c>
      <c r="AN42" s="181" t="e">
        <f t="shared" si="47"/>
        <v>#REF!</v>
      </c>
      <c r="AO42" s="181" t="e">
        <f t="shared" si="48"/>
        <v>#REF!</v>
      </c>
      <c r="AP42" s="181" t="e">
        <f t="shared" si="49"/>
        <v>#REF!</v>
      </c>
      <c r="AQ42" s="181" t="e">
        <f t="shared" si="50"/>
        <v>#REF!</v>
      </c>
      <c r="AR42" s="181" t="e">
        <f t="shared" si="51"/>
        <v>#REF!</v>
      </c>
      <c r="AS42" s="181" t="e">
        <f t="shared" si="52"/>
        <v>#REF!</v>
      </c>
      <c r="AT42" s="181" t="e">
        <f t="shared" si="53"/>
        <v>#REF!</v>
      </c>
      <c r="AU42" s="181"/>
      <c r="AV42" s="63"/>
      <c r="AW42" s="181" t="e">
        <f>IF(B42&lt;&gt;"",VLOOKUP(B42,'[9]IRR MES'!$C$5:$AK$600,2),"")</f>
        <v>#REF!</v>
      </c>
      <c r="AX42" s="247" t="e">
        <f>IF(B42&lt;&gt;"",VLOOKUP(B42,'[9]IRR MES'!$C$5:$AK$600,3),"")</f>
        <v>#REF!</v>
      </c>
      <c r="AY42" s="181" t="e">
        <f>IF(B42&lt;&gt;"",VLOOKUP(B42,'[9]IRR MES'!$C$5:$AK$600,5),"")</f>
        <v>#REF!</v>
      </c>
      <c r="AZ42" s="247" t="e">
        <f>IF(B42&lt;&gt;"",VLOOKUP(B42,'[9]IRR MES'!$C$5:$AK$600,6),"")</f>
        <v>#REF!</v>
      </c>
      <c r="BA42" s="181" t="e">
        <f>IF(B42&lt;&gt;"",VLOOKUP(B42,'[9]IRR MES'!$C$5:$AK$600,8),"")</f>
        <v>#REF!</v>
      </c>
      <c r="BB42" s="247" t="e">
        <f>IF(B42&lt;&gt;"",VLOOKUP(B42,'[9]IRR MES'!$C$5:$AK$600,9),"")</f>
        <v>#REF!</v>
      </c>
      <c r="BC42" s="247" t="e">
        <f>IF(B42&lt;&gt;"",VLOOKUP(B42,'[9]IRR MES'!$C$5:$AK$600,12),"")</f>
        <v>#REF!</v>
      </c>
      <c r="BD42" s="181" t="e">
        <f>IF(B42&lt;&gt;"",VLOOKUP(B42,'[9]IRR MES'!$C$5:$AK$600,14),"")</f>
        <v>#REF!</v>
      </c>
      <c r="BE42" s="247" t="e">
        <f>IF(B42&lt;&gt;"",VLOOKUP(B42,'[9]IRR MES'!$C$5:$AK$600,15),"")</f>
        <v>#REF!</v>
      </c>
      <c r="BF42" s="181" t="e">
        <f>IF(B42&lt;&gt;"",VLOOKUP(B42,'[9]IRR MES'!$C$5:$AK$600,17),"")</f>
        <v>#REF!</v>
      </c>
      <c r="BG42" s="247" t="e">
        <f>IF(B42&lt;&gt;"",VLOOKUP(B42,'[9]IRR MES'!$C$5:$AK$600,18),"")</f>
        <v>#REF!</v>
      </c>
      <c r="BH42" s="181" t="e">
        <f>IF(B42&lt;&gt;"",VLOOKUP(B42,'[9]IRR MES'!$C$5:$AK$600,20),"")</f>
        <v>#REF!</v>
      </c>
      <c r="BI42" s="247" t="e">
        <f>IF(B42&lt;&gt;"",VLOOKUP(B42,'[9]IRR MES'!$C$5:$AK$600,21),"")</f>
        <v>#REF!</v>
      </c>
      <c r="BJ42" s="181" t="e">
        <f>IF(B42&lt;&gt;"",VLOOKUP(B42,'[9]IRR MES'!$C$5:$AK$600,23),"")</f>
        <v>#REF!</v>
      </c>
      <c r="BK42" s="247" t="e">
        <f>IF(B42&lt;&gt;"",VLOOKUP(B42,'[9]IRR MES'!$C$5:$AK$600,24),"")</f>
        <v>#REF!</v>
      </c>
      <c r="BL42" s="181" t="e">
        <f>IF(B42&lt;&gt;"",VLOOKUP(B42,'[9]IRR MES'!$C$5:$AK$600,26),"")</f>
        <v>#REF!</v>
      </c>
      <c r="BM42" s="247" t="e">
        <f>IF(B42&lt;&gt;"",VLOOKUP(B42,'[9]IRR MES'!$C$5:$AK$600,27),"")</f>
        <v>#REF!</v>
      </c>
      <c r="BN42" s="181" t="e">
        <f>IF(B42&lt;&gt;"",VLOOKUP(B42,'[9]IRR MES'!$C$5:$AK$600,29),"")</f>
        <v>#REF!</v>
      </c>
      <c r="BO42" s="247" t="e">
        <f>IF(B42&lt;&gt;"",VLOOKUP(B42,'[9]IRR MES'!$C$5:$AK$600,30),"")</f>
        <v>#REF!</v>
      </c>
      <c r="BP42" s="181" t="e">
        <f>IF(B42&lt;&gt;"",VLOOKUP(B42,'[9]IRR MES'!$C$5:$AK$600,32),"")</f>
        <v>#REF!</v>
      </c>
      <c r="BQ42" s="181" t="e">
        <f>IF(B42&lt;&gt;"",VLOOKUP(B42,'[9]IRR MES'!$C$5:$AK$600,33),"")</f>
        <v>#REF!</v>
      </c>
      <c r="BR42" s="181" t="e">
        <f t="shared" si="54"/>
        <v>#REF!</v>
      </c>
      <c r="BS42" s="181" t="e">
        <f>IF(B42&lt;&gt;"",VLOOKUP(B42,'[9]IRR MES'!$C$5:$AK$600,34),"")</f>
        <v>#REF!</v>
      </c>
      <c r="BT42" s="248" t="e">
        <f>IF(B42&lt;&gt;"",VLOOKUP(B42,'[9]IRR MES'!$C$1:$AK$600,4),"")</f>
        <v>#REF!</v>
      </c>
      <c r="BU42" s="248" t="e">
        <f>IF(B42&lt;&gt;"",VLOOKUP(B42,'[9]IRR MES'!$C$1:$AK$600,7),"")</f>
        <v>#REF!</v>
      </c>
      <c r="BV42" s="248" t="e">
        <f>IF(B42&lt;&gt;"",VLOOKUP(B42,'[9]IRR MES'!$C$1:$AK$600,10),"")</f>
        <v>#REF!</v>
      </c>
      <c r="BW42" s="248" t="e">
        <f>IF(B42&lt;&gt;"",VLOOKUP(B42,'[9]IRR MES'!$C$1:$AK$600,13),"")</f>
        <v>#REF!</v>
      </c>
      <c r="BX42" s="248" t="e">
        <f>IF(B42&lt;&gt;"",VLOOKUP(B42,'[9]IRR MES'!$C$1:$AK$600,16),"")</f>
        <v>#REF!</v>
      </c>
      <c r="BY42" s="248" t="e">
        <f>IF(B42&lt;&gt;"",VLOOKUP(B42,'[9]IRR MES'!$C$1:$AK$600,19),"")</f>
        <v>#REF!</v>
      </c>
      <c r="BZ42" s="248" t="e">
        <f>IF(B42&lt;&gt;"",VLOOKUP(B42,'[9]IRR MES'!$C$1:$AK$600,22),"")</f>
        <v>#REF!</v>
      </c>
      <c r="CA42" s="248" t="e">
        <f>IF(B42&lt;&gt;"",VLOOKUP(B42,'[9]IRR MES'!$C$1:$AK$600,25),"")</f>
        <v>#REF!</v>
      </c>
      <c r="CB42" s="248" t="e">
        <f>IF(B42&lt;&gt;"",VLOOKUP(B42,'[9]IRR MES'!$C$1:$AK$600,28),"")</f>
        <v>#REF!</v>
      </c>
      <c r="CC42" s="248" t="e">
        <f>IF(B42&lt;&gt;"",VLOOKUP(B42,'[9]IRR MES'!$C$1:$AK$600,31),"")</f>
        <v>#REF!</v>
      </c>
      <c r="CD42" s="249" t="e">
        <f>#REF!</f>
        <v>#REF!</v>
      </c>
    </row>
    <row r="43" spans="1:82" x14ac:dyDescent="0.2">
      <c r="A43" s="10" t="e">
        <f t="shared" si="29"/>
        <v>#REF!</v>
      </c>
      <c r="B43" s="50" t="e">
        <f>#REF!</f>
        <v>#REF!</v>
      </c>
      <c r="C43" s="38">
        <f>'LEVANTAMENTO DADOS'!B41</f>
        <v>4751.84</v>
      </c>
      <c r="D43" s="63" t="e">
        <f>'BASE DE CALCULO IR'!W43</f>
        <v>#REF!</v>
      </c>
      <c r="E43" s="63"/>
      <c r="F43" s="60"/>
      <c r="G43" s="63"/>
      <c r="H43" s="63"/>
      <c r="I43" s="63"/>
      <c r="J43" s="63"/>
      <c r="K43" s="61"/>
      <c r="L43" s="61"/>
      <c r="M43" s="61"/>
      <c r="N43" s="60"/>
      <c r="O43" s="60"/>
      <c r="P43" s="60"/>
      <c r="Q43" s="62"/>
      <c r="R43" s="62" t="e">
        <f t="shared" si="30"/>
        <v>#REF!</v>
      </c>
      <c r="S43" s="63" t="e">
        <f t="shared" si="31"/>
        <v>#REF!</v>
      </c>
      <c r="T43" s="250"/>
      <c r="U43" s="63" t="e">
        <f t="shared" si="32"/>
        <v>#REF!</v>
      </c>
      <c r="V43" s="63" t="e">
        <f>#REF!</f>
        <v>#REF!</v>
      </c>
      <c r="W43" s="63" t="e">
        <f t="shared" si="33"/>
        <v>#REF!</v>
      </c>
      <c r="X43" s="242" t="e">
        <f t="shared" si="34"/>
        <v>#REF!</v>
      </c>
      <c r="Y43" s="34" t="e">
        <f t="shared" si="28"/>
        <v>#REF!</v>
      </c>
      <c r="Z43" s="34" t="e">
        <f t="shared" si="35"/>
        <v>#REF!</v>
      </c>
      <c r="AA43" s="176" t="e">
        <f t="shared" si="36"/>
        <v>#REF!</v>
      </c>
      <c r="AB43" s="11" t="e">
        <f t="shared" si="37"/>
        <v>#REF!</v>
      </c>
      <c r="AC43" s="245" t="e">
        <f t="shared" si="38"/>
        <v>#REF!</v>
      </c>
      <c r="AD43" s="245" t="e">
        <f t="shared" si="39"/>
        <v>#REF!</v>
      </c>
      <c r="AE43" s="245"/>
      <c r="AF43" s="245" t="e">
        <f t="shared" si="40"/>
        <v>#REF!</v>
      </c>
      <c r="AG43" s="173" t="e">
        <f t="shared" si="41"/>
        <v>#REF!</v>
      </c>
      <c r="AH43" s="51" t="e">
        <f t="shared" si="42"/>
        <v>#REF!</v>
      </c>
      <c r="AI43" s="63" t="e">
        <f>IF(B43&lt;&gt;"",VLOOKUP(B43,'[9]IRR MES'!$C$15:$AK$600,32),"")</f>
        <v>#REF!</v>
      </c>
      <c r="AJ43" s="246" t="e">
        <f t="shared" si="43"/>
        <v>#REF!</v>
      </c>
      <c r="AK43" s="181" t="e">
        <f t="shared" si="44"/>
        <v>#REF!</v>
      </c>
      <c r="AL43" s="181" t="e">
        <f t="shared" si="45"/>
        <v>#REF!</v>
      </c>
      <c r="AM43" s="181" t="e">
        <f t="shared" si="46"/>
        <v>#REF!</v>
      </c>
      <c r="AN43" s="181" t="e">
        <f t="shared" si="47"/>
        <v>#REF!</v>
      </c>
      <c r="AO43" s="181" t="e">
        <f t="shared" si="48"/>
        <v>#REF!</v>
      </c>
      <c r="AP43" s="181" t="e">
        <f t="shared" si="49"/>
        <v>#REF!</v>
      </c>
      <c r="AQ43" s="181" t="e">
        <f t="shared" si="50"/>
        <v>#REF!</v>
      </c>
      <c r="AR43" s="181" t="e">
        <f t="shared" si="51"/>
        <v>#REF!</v>
      </c>
      <c r="AS43" s="181" t="e">
        <f t="shared" si="52"/>
        <v>#REF!</v>
      </c>
      <c r="AT43" s="181" t="e">
        <f t="shared" si="53"/>
        <v>#REF!</v>
      </c>
      <c r="AU43" s="181"/>
      <c r="AV43" s="63"/>
      <c r="AW43" s="181" t="e">
        <f>IF(B43&lt;&gt;"",VLOOKUP(B43,'[9]IRR MES'!$C$5:$AK$600,2),"")</f>
        <v>#REF!</v>
      </c>
      <c r="AX43" s="247" t="e">
        <f>IF(B43&lt;&gt;"",VLOOKUP(B43,'[9]IRR MES'!$C$5:$AK$600,3),"")</f>
        <v>#REF!</v>
      </c>
      <c r="AY43" s="181" t="e">
        <f>IF(B43&lt;&gt;"",VLOOKUP(B43,'[9]IRR MES'!$C$5:$AK$600,5),"")</f>
        <v>#REF!</v>
      </c>
      <c r="AZ43" s="247" t="e">
        <f>IF(B43&lt;&gt;"",VLOOKUP(B43,'[9]IRR MES'!$C$5:$AK$600,6),"")</f>
        <v>#REF!</v>
      </c>
      <c r="BA43" s="181" t="e">
        <f>IF(B43&lt;&gt;"",VLOOKUP(B43,'[9]IRR MES'!$C$5:$AK$600,8),"")</f>
        <v>#REF!</v>
      </c>
      <c r="BB43" s="247" t="e">
        <f>IF(B43&lt;&gt;"",VLOOKUP(B43,'[9]IRR MES'!$C$5:$AK$600,9),"")</f>
        <v>#REF!</v>
      </c>
      <c r="BC43" s="247" t="e">
        <f>IF(B43&lt;&gt;"",VLOOKUP(B43,'[9]IRR MES'!$C$5:$AK$600,12),"")</f>
        <v>#REF!</v>
      </c>
      <c r="BD43" s="181" t="e">
        <f>IF(B43&lt;&gt;"",VLOOKUP(B43,'[9]IRR MES'!$C$5:$AK$600,14),"")</f>
        <v>#REF!</v>
      </c>
      <c r="BE43" s="247" t="e">
        <f>IF(B43&lt;&gt;"",VLOOKUP(B43,'[9]IRR MES'!$C$5:$AK$600,15),"")</f>
        <v>#REF!</v>
      </c>
      <c r="BF43" s="181" t="e">
        <f>IF(B43&lt;&gt;"",VLOOKUP(B43,'[9]IRR MES'!$C$5:$AK$600,17),"")</f>
        <v>#REF!</v>
      </c>
      <c r="BG43" s="247" t="e">
        <f>IF(B43&lt;&gt;"",VLOOKUP(B43,'[9]IRR MES'!$C$5:$AK$600,18),"")</f>
        <v>#REF!</v>
      </c>
      <c r="BH43" s="181" t="e">
        <f>IF(B43&lt;&gt;"",VLOOKUP(B43,'[9]IRR MES'!$C$5:$AK$600,20),"")</f>
        <v>#REF!</v>
      </c>
      <c r="BI43" s="247" t="e">
        <f>IF(B43&lt;&gt;"",VLOOKUP(B43,'[9]IRR MES'!$C$5:$AK$600,21),"")</f>
        <v>#REF!</v>
      </c>
      <c r="BJ43" s="181" t="e">
        <f>IF(B43&lt;&gt;"",VLOOKUP(B43,'[9]IRR MES'!$C$5:$AK$600,23),"")</f>
        <v>#REF!</v>
      </c>
      <c r="BK43" s="247" t="e">
        <f>IF(B43&lt;&gt;"",VLOOKUP(B43,'[9]IRR MES'!$C$5:$AK$600,24),"")</f>
        <v>#REF!</v>
      </c>
      <c r="BL43" s="181" t="e">
        <f>IF(B43&lt;&gt;"",VLOOKUP(B43,'[9]IRR MES'!$C$5:$AK$600,26),"")</f>
        <v>#REF!</v>
      </c>
      <c r="BM43" s="247" t="e">
        <f>IF(B43&lt;&gt;"",VLOOKUP(B43,'[9]IRR MES'!$C$5:$AK$600,27),"")</f>
        <v>#REF!</v>
      </c>
      <c r="BN43" s="181" t="e">
        <f>IF(B43&lt;&gt;"",VLOOKUP(B43,'[9]IRR MES'!$C$5:$AK$600,29),"")</f>
        <v>#REF!</v>
      </c>
      <c r="BO43" s="247" t="e">
        <f>IF(B43&lt;&gt;"",VLOOKUP(B43,'[9]IRR MES'!$C$5:$AK$600,30),"")</f>
        <v>#REF!</v>
      </c>
      <c r="BP43" s="181" t="e">
        <f>IF(B43&lt;&gt;"",VLOOKUP(B43,'[9]IRR MES'!$C$5:$AK$600,32),"")</f>
        <v>#REF!</v>
      </c>
      <c r="BQ43" s="181" t="e">
        <f>IF(B43&lt;&gt;"",VLOOKUP(B43,'[9]IRR MES'!$C$5:$AK$600,33),"")</f>
        <v>#REF!</v>
      </c>
      <c r="BR43" s="181" t="e">
        <f t="shared" si="54"/>
        <v>#REF!</v>
      </c>
      <c r="BS43" s="181" t="e">
        <f>IF(B43&lt;&gt;"",VLOOKUP(B43,'[9]IRR MES'!$C$5:$AK$600,34),"")</f>
        <v>#REF!</v>
      </c>
      <c r="BT43" s="248" t="e">
        <f>IF(B43&lt;&gt;"",VLOOKUP(B43,'[9]IRR MES'!$C$1:$AK$600,4),"")</f>
        <v>#REF!</v>
      </c>
      <c r="BU43" s="248" t="e">
        <f>IF(B43&lt;&gt;"",VLOOKUP(B43,'[9]IRR MES'!$C$1:$AK$600,7),"")</f>
        <v>#REF!</v>
      </c>
      <c r="BV43" s="248" t="e">
        <f>IF(B43&lt;&gt;"",VLOOKUP(B43,'[9]IRR MES'!$C$1:$AK$600,10),"")</f>
        <v>#REF!</v>
      </c>
      <c r="BW43" s="248" t="e">
        <f>IF(B43&lt;&gt;"",VLOOKUP(B43,'[9]IRR MES'!$C$1:$AK$600,13),"")</f>
        <v>#REF!</v>
      </c>
      <c r="BX43" s="248" t="e">
        <f>IF(B43&lt;&gt;"",VLOOKUP(B43,'[9]IRR MES'!$C$1:$AK$600,16),"")</f>
        <v>#REF!</v>
      </c>
      <c r="BY43" s="248" t="e">
        <f>IF(B43&lt;&gt;"",VLOOKUP(B43,'[9]IRR MES'!$C$1:$AK$600,19),"")</f>
        <v>#REF!</v>
      </c>
      <c r="BZ43" s="248" t="e">
        <f>IF(B43&lt;&gt;"",VLOOKUP(B43,'[9]IRR MES'!$C$1:$AK$600,22),"")</f>
        <v>#REF!</v>
      </c>
      <c r="CA43" s="248" t="e">
        <f>IF(B43&lt;&gt;"",VLOOKUP(B43,'[9]IRR MES'!$C$1:$AK$600,25),"")</f>
        <v>#REF!</v>
      </c>
      <c r="CB43" s="248" t="e">
        <f>IF(B43&lt;&gt;"",VLOOKUP(B43,'[9]IRR MES'!$C$1:$AK$600,28),"")</f>
        <v>#REF!</v>
      </c>
      <c r="CC43" s="248" t="e">
        <f>IF(B43&lt;&gt;"",VLOOKUP(B43,'[9]IRR MES'!$C$1:$AK$600,31),"")</f>
        <v>#REF!</v>
      </c>
      <c r="CD43" s="249" t="e">
        <f>#REF!</f>
        <v>#REF!</v>
      </c>
    </row>
    <row r="44" spans="1:82" x14ac:dyDescent="0.2">
      <c r="A44" s="10" t="e">
        <f t="shared" si="29"/>
        <v>#REF!</v>
      </c>
      <c r="B44" s="50" t="e">
        <f>#REF!</f>
        <v>#REF!</v>
      </c>
      <c r="C44" s="38">
        <f>'LEVANTAMENTO DADOS'!B42</f>
        <v>5125.1499999999996</v>
      </c>
      <c r="D44" s="63" t="e">
        <f>'BASE DE CALCULO IR'!W44</f>
        <v>#REF!</v>
      </c>
      <c r="E44" s="63"/>
      <c r="F44" s="60"/>
      <c r="G44" s="63"/>
      <c r="H44" s="63"/>
      <c r="I44" s="63"/>
      <c r="J44" s="63"/>
      <c r="K44" s="61"/>
      <c r="L44" s="61"/>
      <c r="M44" s="61"/>
      <c r="N44" s="60"/>
      <c r="O44" s="60"/>
      <c r="P44" s="60"/>
      <c r="Q44" s="62"/>
      <c r="R44" s="62" t="e">
        <f t="shared" si="30"/>
        <v>#REF!</v>
      </c>
      <c r="S44" s="63" t="e">
        <f t="shared" si="31"/>
        <v>#REF!</v>
      </c>
      <c r="T44" s="250"/>
      <c r="U44" s="63" t="e">
        <f t="shared" si="32"/>
        <v>#REF!</v>
      </c>
      <c r="V44" s="63" t="e">
        <f>#REF!</f>
        <v>#REF!</v>
      </c>
      <c r="W44" s="63" t="e">
        <f t="shared" si="33"/>
        <v>#REF!</v>
      </c>
      <c r="X44" s="242" t="e">
        <f t="shared" si="34"/>
        <v>#REF!</v>
      </c>
      <c r="Y44" s="34" t="e">
        <f t="shared" si="28"/>
        <v>#REF!</v>
      </c>
      <c r="Z44" s="34" t="e">
        <f t="shared" si="35"/>
        <v>#REF!</v>
      </c>
      <c r="AA44" s="176" t="e">
        <f t="shared" si="36"/>
        <v>#REF!</v>
      </c>
      <c r="AB44" s="11" t="e">
        <f t="shared" si="37"/>
        <v>#REF!</v>
      </c>
      <c r="AC44" s="245" t="e">
        <f t="shared" si="38"/>
        <v>#REF!</v>
      </c>
      <c r="AD44" s="245" t="e">
        <f t="shared" si="39"/>
        <v>#REF!</v>
      </c>
      <c r="AE44" s="245"/>
      <c r="AF44" s="245" t="e">
        <f t="shared" si="40"/>
        <v>#REF!</v>
      </c>
      <c r="AG44" s="173" t="e">
        <f t="shared" si="41"/>
        <v>#REF!</v>
      </c>
      <c r="AH44" s="51" t="e">
        <f t="shared" si="42"/>
        <v>#REF!</v>
      </c>
      <c r="AI44" s="63" t="e">
        <f>IF(B44&lt;&gt;"",VLOOKUP(B44,'[9]IRR MES'!$C$15:$AK$600,32),"")</f>
        <v>#REF!</v>
      </c>
      <c r="AJ44" s="246" t="e">
        <f t="shared" si="43"/>
        <v>#REF!</v>
      </c>
      <c r="AK44" s="181" t="e">
        <f t="shared" si="44"/>
        <v>#REF!</v>
      </c>
      <c r="AL44" s="181" t="e">
        <f t="shared" si="45"/>
        <v>#REF!</v>
      </c>
      <c r="AM44" s="181" t="e">
        <f t="shared" si="46"/>
        <v>#REF!</v>
      </c>
      <c r="AN44" s="181" t="e">
        <f t="shared" si="47"/>
        <v>#REF!</v>
      </c>
      <c r="AO44" s="181" t="e">
        <f t="shared" si="48"/>
        <v>#REF!</v>
      </c>
      <c r="AP44" s="181" t="e">
        <f t="shared" si="49"/>
        <v>#REF!</v>
      </c>
      <c r="AQ44" s="181" t="e">
        <f t="shared" si="50"/>
        <v>#REF!</v>
      </c>
      <c r="AR44" s="181" t="e">
        <f t="shared" si="51"/>
        <v>#REF!</v>
      </c>
      <c r="AS44" s="181" t="e">
        <f t="shared" si="52"/>
        <v>#REF!</v>
      </c>
      <c r="AT44" s="181" t="e">
        <f t="shared" si="53"/>
        <v>#REF!</v>
      </c>
      <c r="AU44" s="181"/>
      <c r="AV44" s="63"/>
      <c r="AW44" s="181" t="e">
        <f>IF(B44&lt;&gt;"",VLOOKUP(B44,'[9]IRR MES'!$C$5:$AK$600,2),"")</f>
        <v>#REF!</v>
      </c>
      <c r="AX44" s="247" t="e">
        <f>IF(B44&lt;&gt;"",VLOOKUP(B44,'[9]IRR MES'!$C$5:$AK$600,3),"")</f>
        <v>#REF!</v>
      </c>
      <c r="AY44" s="181" t="e">
        <f>IF(B44&lt;&gt;"",VLOOKUP(B44,'[9]IRR MES'!$C$5:$AK$600,5),"")</f>
        <v>#REF!</v>
      </c>
      <c r="AZ44" s="247" t="e">
        <f>IF(B44&lt;&gt;"",VLOOKUP(B44,'[9]IRR MES'!$C$5:$AK$600,6),"")</f>
        <v>#REF!</v>
      </c>
      <c r="BA44" s="181" t="e">
        <f>IF(B44&lt;&gt;"",VLOOKUP(B44,'[9]IRR MES'!$C$5:$AK$600,8),"")</f>
        <v>#REF!</v>
      </c>
      <c r="BB44" s="247" t="e">
        <f>IF(B44&lt;&gt;"",VLOOKUP(B44,'[9]IRR MES'!$C$5:$AK$600,9),"")</f>
        <v>#REF!</v>
      </c>
      <c r="BC44" s="247" t="e">
        <f>IF(B44&lt;&gt;"",VLOOKUP(B44,'[9]IRR MES'!$C$5:$AK$600,12),"")</f>
        <v>#REF!</v>
      </c>
      <c r="BD44" s="181" t="e">
        <f>IF(B44&lt;&gt;"",VLOOKUP(B44,'[9]IRR MES'!$C$5:$AK$600,14),"")</f>
        <v>#REF!</v>
      </c>
      <c r="BE44" s="247" t="e">
        <f>IF(B44&lt;&gt;"",VLOOKUP(B44,'[9]IRR MES'!$C$5:$AK$600,15),"")</f>
        <v>#REF!</v>
      </c>
      <c r="BF44" s="181" t="e">
        <f>IF(B44&lt;&gt;"",VLOOKUP(B44,'[9]IRR MES'!$C$5:$AK$600,17),"")</f>
        <v>#REF!</v>
      </c>
      <c r="BG44" s="247" t="e">
        <f>IF(B44&lt;&gt;"",VLOOKUP(B44,'[9]IRR MES'!$C$5:$AK$600,18),"")</f>
        <v>#REF!</v>
      </c>
      <c r="BH44" s="181" t="e">
        <f>IF(B44&lt;&gt;"",VLOOKUP(B44,'[9]IRR MES'!$C$5:$AK$600,20),"")</f>
        <v>#REF!</v>
      </c>
      <c r="BI44" s="247" t="e">
        <f>IF(B44&lt;&gt;"",VLOOKUP(B44,'[9]IRR MES'!$C$5:$AK$600,21),"")</f>
        <v>#REF!</v>
      </c>
      <c r="BJ44" s="181" t="e">
        <f>IF(B44&lt;&gt;"",VLOOKUP(B44,'[9]IRR MES'!$C$5:$AK$600,23),"")</f>
        <v>#REF!</v>
      </c>
      <c r="BK44" s="247" t="e">
        <f>IF(B44&lt;&gt;"",VLOOKUP(B44,'[9]IRR MES'!$C$5:$AK$600,24),"")</f>
        <v>#REF!</v>
      </c>
      <c r="BL44" s="181" t="e">
        <f>IF(B44&lt;&gt;"",VLOOKUP(B44,'[9]IRR MES'!$C$5:$AK$600,26),"")</f>
        <v>#REF!</v>
      </c>
      <c r="BM44" s="247" t="e">
        <f>IF(B44&lt;&gt;"",VLOOKUP(B44,'[9]IRR MES'!$C$5:$AK$600,27),"")</f>
        <v>#REF!</v>
      </c>
      <c r="BN44" s="181" t="e">
        <f>IF(B44&lt;&gt;"",VLOOKUP(B44,'[9]IRR MES'!$C$5:$AK$600,29),"")</f>
        <v>#REF!</v>
      </c>
      <c r="BO44" s="247" t="e">
        <f>IF(B44&lt;&gt;"",VLOOKUP(B44,'[9]IRR MES'!$C$5:$AK$600,30),"")</f>
        <v>#REF!</v>
      </c>
      <c r="BP44" s="181" t="e">
        <f>IF(B44&lt;&gt;"",VLOOKUP(B44,'[9]IRR MES'!$C$5:$AK$600,32),"")</f>
        <v>#REF!</v>
      </c>
      <c r="BQ44" s="181" t="e">
        <f>IF(B44&lt;&gt;"",VLOOKUP(B44,'[9]IRR MES'!$C$5:$AK$600,33),"")</f>
        <v>#REF!</v>
      </c>
      <c r="BR44" s="181" t="e">
        <f t="shared" si="54"/>
        <v>#REF!</v>
      </c>
      <c r="BS44" s="181" t="e">
        <f>IF(B44&lt;&gt;"",VLOOKUP(B44,'[9]IRR MES'!$C$5:$AK$600,34),"")</f>
        <v>#REF!</v>
      </c>
      <c r="BT44" s="248" t="e">
        <f>IF(B44&lt;&gt;"",VLOOKUP(B44,'[9]IRR MES'!$C$1:$AK$600,4),"")</f>
        <v>#REF!</v>
      </c>
      <c r="BU44" s="248" t="e">
        <f>IF(B44&lt;&gt;"",VLOOKUP(B44,'[9]IRR MES'!$C$1:$AK$600,7),"")</f>
        <v>#REF!</v>
      </c>
      <c r="BV44" s="248" t="e">
        <f>IF(B44&lt;&gt;"",VLOOKUP(B44,'[9]IRR MES'!$C$1:$AK$600,10),"")</f>
        <v>#REF!</v>
      </c>
      <c r="BW44" s="248" t="e">
        <f>IF(B44&lt;&gt;"",VLOOKUP(B44,'[9]IRR MES'!$C$1:$AK$600,13),"")</f>
        <v>#REF!</v>
      </c>
      <c r="BX44" s="248" t="e">
        <f>IF(B44&lt;&gt;"",VLOOKUP(B44,'[9]IRR MES'!$C$1:$AK$600,16),"")</f>
        <v>#REF!</v>
      </c>
      <c r="BY44" s="248" t="e">
        <f>IF(B44&lt;&gt;"",VLOOKUP(B44,'[9]IRR MES'!$C$1:$AK$600,19),"")</f>
        <v>#REF!</v>
      </c>
      <c r="BZ44" s="248" t="e">
        <f>IF(B44&lt;&gt;"",VLOOKUP(B44,'[9]IRR MES'!$C$1:$AK$600,22),"")</f>
        <v>#REF!</v>
      </c>
      <c r="CA44" s="248" t="e">
        <f>IF(B44&lt;&gt;"",VLOOKUP(B44,'[9]IRR MES'!$C$1:$AK$600,25),"")</f>
        <v>#REF!</v>
      </c>
      <c r="CB44" s="248" t="e">
        <f>IF(B44&lt;&gt;"",VLOOKUP(B44,'[9]IRR MES'!$C$1:$AK$600,28),"")</f>
        <v>#REF!</v>
      </c>
      <c r="CC44" s="248" t="e">
        <f>IF(B44&lt;&gt;"",VLOOKUP(B44,'[9]IRR MES'!$C$1:$AK$600,31),"")</f>
        <v>#REF!</v>
      </c>
      <c r="CD44" s="249" t="e">
        <f>#REF!</f>
        <v>#REF!</v>
      </c>
    </row>
    <row r="45" spans="1:82" x14ac:dyDescent="0.2">
      <c r="A45" s="10" t="e">
        <f t="shared" si="29"/>
        <v>#REF!</v>
      </c>
      <c r="B45" s="50" t="e">
        <f>#REF!</f>
        <v>#REF!</v>
      </c>
      <c r="C45" s="38">
        <f>'LEVANTAMENTO DADOS'!B43</f>
        <v>4352.12</v>
      </c>
      <c r="D45" s="63" t="e">
        <f>'BASE DE CALCULO IR'!W45</f>
        <v>#REF!</v>
      </c>
      <c r="E45" s="63"/>
      <c r="F45" s="60"/>
      <c r="G45" s="63"/>
      <c r="H45" s="63"/>
      <c r="I45" s="63"/>
      <c r="J45" s="63"/>
      <c r="K45" s="61"/>
      <c r="L45" s="61"/>
      <c r="M45" s="61"/>
      <c r="N45" s="60"/>
      <c r="O45" s="60"/>
      <c r="P45" s="60"/>
      <c r="Q45" s="62"/>
      <c r="R45" s="62" t="e">
        <f t="shared" si="30"/>
        <v>#REF!</v>
      </c>
      <c r="S45" s="63" t="e">
        <f t="shared" si="31"/>
        <v>#REF!</v>
      </c>
      <c r="T45" s="250"/>
      <c r="U45" s="63" t="e">
        <f t="shared" si="32"/>
        <v>#REF!</v>
      </c>
      <c r="V45" s="63" t="e">
        <f>#REF!</f>
        <v>#REF!</v>
      </c>
      <c r="W45" s="63" t="e">
        <f t="shared" si="33"/>
        <v>#REF!</v>
      </c>
      <c r="X45" s="242" t="e">
        <f t="shared" si="34"/>
        <v>#REF!</v>
      </c>
      <c r="Y45" s="34" t="e">
        <f t="shared" si="28"/>
        <v>#REF!</v>
      </c>
      <c r="Z45" s="34" t="e">
        <f t="shared" si="35"/>
        <v>#REF!</v>
      </c>
      <c r="AA45" s="176" t="e">
        <f t="shared" si="36"/>
        <v>#REF!</v>
      </c>
      <c r="AB45" s="11" t="e">
        <f t="shared" si="37"/>
        <v>#REF!</v>
      </c>
      <c r="AC45" s="245" t="e">
        <f t="shared" si="38"/>
        <v>#REF!</v>
      </c>
      <c r="AD45" s="245" t="e">
        <f t="shared" si="39"/>
        <v>#REF!</v>
      </c>
      <c r="AE45" s="245"/>
      <c r="AF45" s="245" t="e">
        <f t="shared" si="40"/>
        <v>#REF!</v>
      </c>
      <c r="AG45" s="173" t="e">
        <f t="shared" si="41"/>
        <v>#REF!</v>
      </c>
      <c r="AH45" s="51" t="e">
        <f t="shared" si="42"/>
        <v>#REF!</v>
      </c>
      <c r="AI45" s="63" t="e">
        <f>IF(B45&lt;&gt;"",VLOOKUP(B45,'[9]IRR MES'!$C$15:$AK$600,32),"")</f>
        <v>#REF!</v>
      </c>
      <c r="AJ45" s="246" t="e">
        <f t="shared" si="43"/>
        <v>#REF!</v>
      </c>
      <c r="AK45" s="181" t="e">
        <f t="shared" si="44"/>
        <v>#REF!</v>
      </c>
      <c r="AL45" s="181" t="e">
        <f t="shared" si="45"/>
        <v>#REF!</v>
      </c>
      <c r="AM45" s="181" t="e">
        <f t="shared" si="46"/>
        <v>#REF!</v>
      </c>
      <c r="AN45" s="181" t="e">
        <f t="shared" si="47"/>
        <v>#REF!</v>
      </c>
      <c r="AO45" s="181" t="e">
        <f t="shared" si="48"/>
        <v>#REF!</v>
      </c>
      <c r="AP45" s="181" t="e">
        <f t="shared" si="49"/>
        <v>#REF!</v>
      </c>
      <c r="AQ45" s="181" t="e">
        <f t="shared" si="50"/>
        <v>#REF!</v>
      </c>
      <c r="AR45" s="181" t="e">
        <f t="shared" si="51"/>
        <v>#REF!</v>
      </c>
      <c r="AS45" s="181" t="e">
        <f t="shared" si="52"/>
        <v>#REF!</v>
      </c>
      <c r="AT45" s="181" t="e">
        <f t="shared" si="53"/>
        <v>#REF!</v>
      </c>
      <c r="AU45" s="181"/>
      <c r="AV45" s="63"/>
      <c r="AW45" s="181" t="e">
        <f>IF(B45&lt;&gt;"",VLOOKUP(B45,'[9]IRR MES'!$C$5:$AK$600,2),"")</f>
        <v>#REF!</v>
      </c>
      <c r="AX45" s="247" t="e">
        <f>IF(B45&lt;&gt;"",VLOOKUP(B45,'[9]IRR MES'!$C$5:$AK$600,3),"")</f>
        <v>#REF!</v>
      </c>
      <c r="AY45" s="181" t="e">
        <f>IF(B45&lt;&gt;"",VLOOKUP(B45,'[9]IRR MES'!$C$5:$AK$600,5),"")</f>
        <v>#REF!</v>
      </c>
      <c r="AZ45" s="247" t="e">
        <f>IF(B45&lt;&gt;"",VLOOKUP(B45,'[9]IRR MES'!$C$5:$AK$600,6),"")</f>
        <v>#REF!</v>
      </c>
      <c r="BA45" s="181" t="e">
        <f>IF(B45&lt;&gt;"",VLOOKUP(B45,'[9]IRR MES'!$C$5:$AK$600,8),"")</f>
        <v>#REF!</v>
      </c>
      <c r="BB45" s="247" t="e">
        <f>IF(B45&lt;&gt;"",VLOOKUP(B45,'[9]IRR MES'!$C$5:$AK$600,9),"")</f>
        <v>#REF!</v>
      </c>
      <c r="BC45" s="247" t="e">
        <f>IF(B45&lt;&gt;"",VLOOKUP(B45,'[9]IRR MES'!$C$5:$AK$600,12),"")</f>
        <v>#REF!</v>
      </c>
      <c r="BD45" s="181" t="e">
        <f>IF(B45&lt;&gt;"",VLOOKUP(B45,'[9]IRR MES'!$C$5:$AK$600,14),"")</f>
        <v>#REF!</v>
      </c>
      <c r="BE45" s="247" t="e">
        <f>IF(B45&lt;&gt;"",VLOOKUP(B45,'[9]IRR MES'!$C$5:$AK$600,15),"")</f>
        <v>#REF!</v>
      </c>
      <c r="BF45" s="181" t="e">
        <f>IF(B45&lt;&gt;"",VLOOKUP(B45,'[9]IRR MES'!$C$5:$AK$600,17),"")</f>
        <v>#REF!</v>
      </c>
      <c r="BG45" s="247" t="e">
        <f>IF(B45&lt;&gt;"",VLOOKUP(B45,'[9]IRR MES'!$C$5:$AK$600,18),"")</f>
        <v>#REF!</v>
      </c>
      <c r="BH45" s="181" t="e">
        <f>IF(B45&lt;&gt;"",VLOOKUP(B45,'[9]IRR MES'!$C$5:$AK$600,20),"")</f>
        <v>#REF!</v>
      </c>
      <c r="BI45" s="247" t="e">
        <f>IF(B45&lt;&gt;"",VLOOKUP(B45,'[9]IRR MES'!$C$5:$AK$600,21),"")</f>
        <v>#REF!</v>
      </c>
      <c r="BJ45" s="181" t="e">
        <f>IF(B45&lt;&gt;"",VLOOKUP(B45,'[9]IRR MES'!$C$5:$AK$600,23),"")</f>
        <v>#REF!</v>
      </c>
      <c r="BK45" s="247" t="e">
        <f>IF(B45&lt;&gt;"",VLOOKUP(B45,'[9]IRR MES'!$C$5:$AK$600,24),"")</f>
        <v>#REF!</v>
      </c>
      <c r="BL45" s="181" t="e">
        <f>IF(B45&lt;&gt;"",VLOOKUP(B45,'[9]IRR MES'!$C$5:$AK$600,26),"")</f>
        <v>#REF!</v>
      </c>
      <c r="BM45" s="247" t="e">
        <f>IF(B45&lt;&gt;"",VLOOKUP(B45,'[9]IRR MES'!$C$5:$AK$600,27),"")</f>
        <v>#REF!</v>
      </c>
      <c r="BN45" s="181" t="e">
        <f>IF(B45&lt;&gt;"",VLOOKUP(B45,'[9]IRR MES'!$C$5:$AK$600,29),"")</f>
        <v>#REF!</v>
      </c>
      <c r="BO45" s="247" t="e">
        <f>IF(B45&lt;&gt;"",VLOOKUP(B45,'[9]IRR MES'!$C$5:$AK$600,30),"")</f>
        <v>#REF!</v>
      </c>
      <c r="BP45" s="181" t="e">
        <f>IF(B45&lt;&gt;"",VLOOKUP(B45,'[9]IRR MES'!$C$5:$AK$600,32),"")</f>
        <v>#REF!</v>
      </c>
      <c r="BQ45" s="181" t="e">
        <f>IF(B45&lt;&gt;"",VLOOKUP(B45,'[9]IRR MES'!$C$5:$AK$600,33),"")</f>
        <v>#REF!</v>
      </c>
      <c r="BR45" s="181" t="e">
        <f t="shared" si="54"/>
        <v>#REF!</v>
      </c>
      <c r="BS45" s="181" t="e">
        <f>IF(B45&lt;&gt;"",VLOOKUP(B45,'[9]IRR MES'!$C$5:$AK$600,34),"")</f>
        <v>#REF!</v>
      </c>
      <c r="BT45" s="248" t="e">
        <f>IF(B45&lt;&gt;"",VLOOKUP(B45,'[9]IRR MES'!$C$1:$AK$600,4),"")</f>
        <v>#REF!</v>
      </c>
      <c r="BU45" s="248" t="e">
        <f>IF(B45&lt;&gt;"",VLOOKUP(B45,'[9]IRR MES'!$C$1:$AK$600,7),"")</f>
        <v>#REF!</v>
      </c>
      <c r="BV45" s="248" t="e">
        <f>IF(B45&lt;&gt;"",VLOOKUP(B45,'[9]IRR MES'!$C$1:$AK$600,10),"")</f>
        <v>#REF!</v>
      </c>
      <c r="BW45" s="248" t="e">
        <f>IF(B45&lt;&gt;"",VLOOKUP(B45,'[9]IRR MES'!$C$1:$AK$600,13),"")</f>
        <v>#REF!</v>
      </c>
      <c r="BX45" s="248" t="e">
        <f>IF(B45&lt;&gt;"",VLOOKUP(B45,'[9]IRR MES'!$C$1:$AK$600,16),"")</f>
        <v>#REF!</v>
      </c>
      <c r="BY45" s="248" t="e">
        <f>IF(B45&lt;&gt;"",VLOOKUP(B45,'[9]IRR MES'!$C$1:$AK$600,19),"")</f>
        <v>#REF!</v>
      </c>
      <c r="BZ45" s="248" t="e">
        <f>IF(B45&lt;&gt;"",VLOOKUP(B45,'[9]IRR MES'!$C$1:$AK$600,22),"")</f>
        <v>#REF!</v>
      </c>
      <c r="CA45" s="248" t="e">
        <f>IF(B45&lt;&gt;"",VLOOKUP(B45,'[9]IRR MES'!$C$1:$AK$600,25),"")</f>
        <v>#REF!</v>
      </c>
      <c r="CB45" s="248" t="e">
        <f>IF(B45&lt;&gt;"",VLOOKUP(B45,'[9]IRR MES'!$C$1:$AK$600,28),"")</f>
        <v>#REF!</v>
      </c>
      <c r="CC45" s="248" t="e">
        <f>IF(B45&lt;&gt;"",VLOOKUP(B45,'[9]IRR MES'!$C$1:$AK$600,31),"")</f>
        <v>#REF!</v>
      </c>
      <c r="CD45" s="249" t="e">
        <f>#REF!</f>
        <v>#REF!</v>
      </c>
    </row>
    <row r="46" spans="1:82" x14ac:dyDescent="0.2">
      <c r="A46" s="10" t="e">
        <f t="shared" si="29"/>
        <v>#REF!</v>
      </c>
      <c r="B46" s="50" t="e">
        <f>#REF!</f>
        <v>#REF!</v>
      </c>
      <c r="C46" s="38">
        <f>'LEVANTAMENTO DADOS'!B44</f>
        <v>4505.3999999999996</v>
      </c>
      <c r="D46" s="63" t="e">
        <f>'BASE DE CALCULO IR'!W46</f>
        <v>#REF!</v>
      </c>
      <c r="E46" s="63"/>
      <c r="F46" s="60"/>
      <c r="G46" s="63"/>
      <c r="H46" s="63"/>
      <c r="I46" s="63"/>
      <c r="J46" s="63"/>
      <c r="K46" s="61"/>
      <c r="L46" s="61"/>
      <c r="M46" s="61"/>
      <c r="N46" s="60"/>
      <c r="O46" s="60"/>
      <c r="P46" s="60"/>
      <c r="Q46" s="62"/>
      <c r="R46" s="62" t="e">
        <f t="shared" si="30"/>
        <v>#REF!</v>
      </c>
      <c r="S46" s="63" t="e">
        <f t="shared" si="31"/>
        <v>#REF!</v>
      </c>
      <c r="T46" s="250"/>
      <c r="U46" s="63" t="e">
        <f t="shared" si="32"/>
        <v>#REF!</v>
      </c>
      <c r="V46" s="63" t="e">
        <f>#REF!</f>
        <v>#REF!</v>
      </c>
      <c r="W46" s="63" t="e">
        <f t="shared" si="33"/>
        <v>#REF!</v>
      </c>
      <c r="X46" s="242" t="e">
        <f t="shared" si="34"/>
        <v>#REF!</v>
      </c>
      <c r="Y46" s="34" t="e">
        <f t="shared" si="28"/>
        <v>#REF!</v>
      </c>
      <c r="Z46" s="34" t="e">
        <f t="shared" si="35"/>
        <v>#REF!</v>
      </c>
      <c r="AA46" s="176" t="e">
        <f t="shared" si="36"/>
        <v>#REF!</v>
      </c>
      <c r="AB46" s="11" t="e">
        <f t="shared" si="37"/>
        <v>#REF!</v>
      </c>
      <c r="AC46" s="245" t="e">
        <f t="shared" si="38"/>
        <v>#REF!</v>
      </c>
      <c r="AD46" s="245" t="e">
        <f t="shared" si="39"/>
        <v>#REF!</v>
      </c>
      <c r="AE46" s="245"/>
      <c r="AF46" s="245" t="e">
        <f t="shared" si="40"/>
        <v>#REF!</v>
      </c>
      <c r="AG46" s="173" t="e">
        <f t="shared" si="41"/>
        <v>#REF!</v>
      </c>
      <c r="AH46" s="51" t="e">
        <f t="shared" si="42"/>
        <v>#REF!</v>
      </c>
      <c r="AI46" s="63" t="e">
        <f>IF(B46&lt;&gt;"",VLOOKUP(B46,'[9]IRR MES'!$C$15:$AK$600,32),"")</f>
        <v>#REF!</v>
      </c>
      <c r="AJ46" s="246" t="e">
        <f t="shared" si="43"/>
        <v>#REF!</v>
      </c>
      <c r="AK46" s="181" t="e">
        <f t="shared" si="44"/>
        <v>#REF!</v>
      </c>
      <c r="AL46" s="181" t="e">
        <f t="shared" si="45"/>
        <v>#REF!</v>
      </c>
      <c r="AM46" s="181" t="e">
        <f t="shared" si="46"/>
        <v>#REF!</v>
      </c>
      <c r="AN46" s="181" t="e">
        <f t="shared" si="47"/>
        <v>#REF!</v>
      </c>
      <c r="AO46" s="181" t="e">
        <f t="shared" si="48"/>
        <v>#REF!</v>
      </c>
      <c r="AP46" s="181" t="e">
        <f t="shared" si="49"/>
        <v>#REF!</v>
      </c>
      <c r="AQ46" s="181" t="e">
        <f t="shared" si="50"/>
        <v>#REF!</v>
      </c>
      <c r="AR46" s="181" t="e">
        <f t="shared" si="51"/>
        <v>#REF!</v>
      </c>
      <c r="AS46" s="181" t="e">
        <f t="shared" si="52"/>
        <v>#REF!</v>
      </c>
      <c r="AT46" s="181" t="e">
        <f t="shared" si="53"/>
        <v>#REF!</v>
      </c>
      <c r="AU46" s="181"/>
      <c r="AV46" s="63"/>
      <c r="AW46" s="181" t="e">
        <f>IF(B46&lt;&gt;"",VLOOKUP(B46,'[9]IRR MES'!$C$5:$AK$600,2),"")</f>
        <v>#REF!</v>
      </c>
      <c r="AX46" s="247" t="e">
        <f>IF(B46&lt;&gt;"",VLOOKUP(B46,'[9]IRR MES'!$C$5:$AK$600,3),"")</f>
        <v>#REF!</v>
      </c>
      <c r="AY46" s="181" t="e">
        <f>IF(B46&lt;&gt;"",VLOOKUP(B46,'[9]IRR MES'!$C$5:$AK$600,5),"")</f>
        <v>#REF!</v>
      </c>
      <c r="AZ46" s="247" t="e">
        <f>IF(B46&lt;&gt;"",VLOOKUP(B46,'[9]IRR MES'!$C$5:$AK$600,6),"")</f>
        <v>#REF!</v>
      </c>
      <c r="BA46" s="181" t="e">
        <f>IF(B46&lt;&gt;"",VLOOKUP(B46,'[9]IRR MES'!$C$5:$AK$600,8),"")</f>
        <v>#REF!</v>
      </c>
      <c r="BB46" s="247" t="e">
        <f>IF(B46&lt;&gt;"",VLOOKUP(B46,'[9]IRR MES'!$C$5:$AK$600,9),"")</f>
        <v>#REF!</v>
      </c>
      <c r="BC46" s="247" t="e">
        <f>IF(B46&lt;&gt;"",VLOOKUP(B46,'[9]IRR MES'!$C$5:$AK$600,12),"")</f>
        <v>#REF!</v>
      </c>
      <c r="BD46" s="181" t="e">
        <f>IF(B46&lt;&gt;"",VLOOKUP(B46,'[9]IRR MES'!$C$5:$AK$600,14),"")</f>
        <v>#REF!</v>
      </c>
      <c r="BE46" s="247" t="e">
        <f>IF(B46&lt;&gt;"",VLOOKUP(B46,'[9]IRR MES'!$C$5:$AK$600,15),"")</f>
        <v>#REF!</v>
      </c>
      <c r="BF46" s="181" t="e">
        <f>IF(B46&lt;&gt;"",VLOOKUP(B46,'[9]IRR MES'!$C$5:$AK$600,17),"")</f>
        <v>#REF!</v>
      </c>
      <c r="BG46" s="247" t="e">
        <f>IF(B46&lt;&gt;"",VLOOKUP(B46,'[9]IRR MES'!$C$5:$AK$600,18),"")</f>
        <v>#REF!</v>
      </c>
      <c r="BH46" s="181" t="e">
        <f>IF(B46&lt;&gt;"",VLOOKUP(B46,'[9]IRR MES'!$C$5:$AK$600,20),"")</f>
        <v>#REF!</v>
      </c>
      <c r="BI46" s="247" t="e">
        <f>IF(B46&lt;&gt;"",VLOOKUP(B46,'[9]IRR MES'!$C$5:$AK$600,21),"")</f>
        <v>#REF!</v>
      </c>
      <c r="BJ46" s="181" t="e">
        <f>IF(B46&lt;&gt;"",VLOOKUP(B46,'[9]IRR MES'!$C$5:$AK$600,23),"")</f>
        <v>#REF!</v>
      </c>
      <c r="BK46" s="247" t="e">
        <f>IF(B46&lt;&gt;"",VLOOKUP(B46,'[9]IRR MES'!$C$5:$AK$600,24),"")</f>
        <v>#REF!</v>
      </c>
      <c r="BL46" s="181" t="e">
        <f>IF(B46&lt;&gt;"",VLOOKUP(B46,'[9]IRR MES'!$C$5:$AK$600,26),"")</f>
        <v>#REF!</v>
      </c>
      <c r="BM46" s="247" t="e">
        <f>IF(B46&lt;&gt;"",VLOOKUP(B46,'[9]IRR MES'!$C$5:$AK$600,27),"")</f>
        <v>#REF!</v>
      </c>
      <c r="BN46" s="181" t="e">
        <f>IF(B46&lt;&gt;"",VLOOKUP(B46,'[9]IRR MES'!$C$5:$AK$600,29),"")</f>
        <v>#REF!</v>
      </c>
      <c r="BO46" s="247" t="e">
        <f>IF(B46&lt;&gt;"",VLOOKUP(B46,'[9]IRR MES'!$C$5:$AK$600,30),"")</f>
        <v>#REF!</v>
      </c>
      <c r="BP46" s="181" t="e">
        <f>IF(B46&lt;&gt;"",VLOOKUP(B46,'[9]IRR MES'!$C$5:$AK$600,32),"")</f>
        <v>#REF!</v>
      </c>
      <c r="BQ46" s="181" t="e">
        <f>IF(B46&lt;&gt;"",VLOOKUP(B46,'[9]IRR MES'!$C$5:$AK$600,33),"")</f>
        <v>#REF!</v>
      </c>
      <c r="BR46" s="181" t="e">
        <f t="shared" si="54"/>
        <v>#REF!</v>
      </c>
      <c r="BS46" s="181" t="e">
        <f>IF(B46&lt;&gt;"",VLOOKUP(B46,'[9]IRR MES'!$C$5:$AK$600,34),"")</f>
        <v>#REF!</v>
      </c>
      <c r="BT46" s="248" t="e">
        <f>IF(B46&lt;&gt;"",VLOOKUP(B46,'[9]IRR MES'!$C$1:$AK$600,4),"")</f>
        <v>#REF!</v>
      </c>
      <c r="BU46" s="248" t="e">
        <f>IF(B46&lt;&gt;"",VLOOKUP(B46,'[9]IRR MES'!$C$1:$AK$600,7),"")</f>
        <v>#REF!</v>
      </c>
      <c r="BV46" s="248" t="e">
        <f>IF(B46&lt;&gt;"",VLOOKUP(B46,'[9]IRR MES'!$C$1:$AK$600,10),"")</f>
        <v>#REF!</v>
      </c>
      <c r="BW46" s="248" t="e">
        <f>IF(B46&lt;&gt;"",VLOOKUP(B46,'[9]IRR MES'!$C$1:$AK$600,13),"")</f>
        <v>#REF!</v>
      </c>
      <c r="BX46" s="248" t="e">
        <f>IF(B46&lt;&gt;"",VLOOKUP(B46,'[9]IRR MES'!$C$1:$AK$600,16),"")</f>
        <v>#REF!</v>
      </c>
      <c r="BY46" s="248" t="e">
        <f>IF(B46&lt;&gt;"",VLOOKUP(B46,'[9]IRR MES'!$C$1:$AK$600,19),"")</f>
        <v>#REF!</v>
      </c>
      <c r="BZ46" s="248" t="e">
        <f>IF(B46&lt;&gt;"",VLOOKUP(B46,'[9]IRR MES'!$C$1:$AK$600,22),"")</f>
        <v>#REF!</v>
      </c>
      <c r="CA46" s="248" t="e">
        <f>IF(B46&lt;&gt;"",VLOOKUP(B46,'[9]IRR MES'!$C$1:$AK$600,25),"")</f>
        <v>#REF!</v>
      </c>
      <c r="CB46" s="248" t="e">
        <f>IF(B46&lt;&gt;"",VLOOKUP(B46,'[9]IRR MES'!$C$1:$AK$600,28),"")</f>
        <v>#REF!</v>
      </c>
      <c r="CC46" s="248" t="e">
        <f>IF(B46&lt;&gt;"",VLOOKUP(B46,'[9]IRR MES'!$C$1:$AK$600,31),"")</f>
        <v>#REF!</v>
      </c>
      <c r="CD46" s="249" t="e">
        <f>#REF!</f>
        <v>#REF!</v>
      </c>
    </row>
    <row r="47" spans="1:82" x14ac:dyDescent="0.2">
      <c r="A47" s="10" t="e">
        <f t="shared" si="29"/>
        <v>#REF!</v>
      </c>
      <c r="B47" s="50" t="e">
        <f>#REF!</f>
        <v>#REF!</v>
      </c>
      <c r="C47" s="38">
        <f>'LEVANTAMENTO DADOS'!B45</f>
        <v>3874.35</v>
      </c>
      <c r="D47" s="63" t="e">
        <f>'BASE DE CALCULO IR'!W47</f>
        <v>#REF!</v>
      </c>
      <c r="E47" s="63"/>
      <c r="F47" s="60"/>
      <c r="G47" s="63"/>
      <c r="H47" s="63"/>
      <c r="I47" s="63"/>
      <c r="J47" s="63"/>
      <c r="K47" s="61"/>
      <c r="L47" s="61"/>
      <c r="M47" s="61"/>
      <c r="N47" s="60"/>
      <c r="O47" s="60"/>
      <c r="P47" s="60"/>
      <c r="Q47" s="62"/>
      <c r="R47" s="62" t="e">
        <f t="shared" si="30"/>
        <v>#REF!</v>
      </c>
      <c r="S47" s="63" t="e">
        <f t="shared" si="31"/>
        <v>#REF!</v>
      </c>
      <c r="T47" s="250"/>
      <c r="U47" s="63" t="e">
        <f t="shared" si="32"/>
        <v>#REF!</v>
      </c>
      <c r="V47" s="63" t="e">
        <f>#REF!</f>
        <v>#REF!</v>
      </c>
      <c r="W47" s="63" t="e">
        <f t="shared" si="33"/>
        <v>#REF!</v>
      </c>
      <c r="X47" s="242" t="e">
        <f t="shared" si="34"/>
        <v>#REF!</v>
      </c>
      <c r="Y47" s="34" t="e">
        <f t="shared" si="28"/>
        <v>#REF!</v>
      </c>
      <c r="Z47" s="34" t="e">
        <f t="shared" si="35"/>
        <v>#REF!</v>
      </c>
      <c r="AA47" s="176" t="e">
        <f t="shared" si="36"/>
        <v>#REF!</v>
      </c>
      <c r="AB47" s="11" t="e">
        <f t="shared" si="37"/>
        <v>#REF!</v>
      </c>
      <c r="AC47" s="245" t="e">
        <f t="shared" si="38"/>
        <v>#REF!</v>
      </c>
      <c r="AD47" s="245" t="e">
        <f t="shared" si="39"/>
        <v>#REF!</v>
      </c>
      <c r="AE47" s="245"/>
      <c r="AF47" s="245" t="e">
        <f t="shared" si="40"/>
        <v>#REF!</v>
      </c>
      <c r="AG47" s="173" t="e">
        <f t="shared" si="41"/>
        <v>#REF!</v>
      </c>
      <c r="AH47" s="51" t="e">
        <f t="shared" si="42"/>
        <v>#REF!</v>
      </c>
      <c r="AI47" s="63" t="e">
        <f>IF(B47&lt;&gt;"",VLOOKUP(B47,'[9]IRR MES'!$C$15:$AK$600,32),"")</f>
        <v>#REF!</v>
      </c>
      <c r="AJ47" s="246" t="e">
        <f t="shared" si="43"/>
        <v>#REF!</v>
      </c>
      <c r="AK47" s="181" t="e">
        <f t="shared" si="44"/>
        <v>#REF!</v>
      </c>
      <c r="AL47" s="181" t="e">
        <f t="shared" si="45"/>
        <v>#REF!</v>
      </c>
      <c r="AM47" s="181" t="e">
        <f t="shared" si="46"/>
        <v>#REF!</v>
      </c>
      <c r="AN47" s="181" t="e">
        <f t="shared" si="47"/>
        <v>#REF!</v>
      </c>
      <c r="AO47" s="181" t="e">
        <f t="shared" si="48"/>
        <v>#REF!</v>
      </c>
      <c r="AP47" s="181" t="e">
        <f t="shared" si="49"/>
        <v>#REF!</v>
      </c>
      <c r="AQ47" s="181" t="e">
        <f t="shared" si="50"/>
        <v>#REF!</v>
      </c>
      <c r="AR47" s="181" t="e">
        <f t="shared" si="51"/>
        <v>#REF!</v>
      </c>
      <c r="AS47" s="181" t="e">
        <f t="shared" si="52"/>
        <v>#REF!</v>
      </c>
      <c r="AT47" s="181" t="e">
        <f t="shared" si="53"/>
        <v>#REF!</v>
      </c>
      <c r="AU47" s="181"/>
      <c r="AV47" s="63"/>
      <c r="AW47" s="181" t="e">
        <f>IF(B47&lt;&gt;"",VLOOKUP(B47,'[9]IRR MES'!$C$5:$AK$600,2),"")</f>
        <v>#REF!</v>
      </c>
      <c r="AX47" s="247" t="e">
        <f>IF(B47&lt;&gt;"",VLOOKUP(B47,'[9]IRR MES'!$C$5:$AK$600,3),"")</f>
        <v>#REF!</v>
      </c>
      <c r="AY47" s="181" t="e">
        <f>IF(B47&lt;&gt;"",VLOOKUP(B47,'[9]IRR MES'!$C$5:$AK$600,5),"")</f>
        <v>#REF!</v>
      </c>
      <c r="AZ47" s="247" t="e">
        <f>IF(B47&lt;&gt;"",VLOOKUP(B47,'[9]IRR MES'!$C$5:$AK$600,6),"")</f>
        <v>#REF!</v>
      </c>
      <c r="BA47" s="181" t="e">
        <f>IF(B47&lt;&gt;"",VLOOKUP(B47,'[9]IRR MES'!$C$5:$AK$600,8),"")</f>
        <v>#REF!</v>
      </c>
      <c r="BB47" s="247" t="e">
        <f>IF(B47&lt;&gt;"",VLOOKUP(B47,'[9]IRR MES'!$C$5:$AK$600,9),"")</f>
        <v>#REF!</v>
      </c>
      <c r="BC47" s="247" t="e">
        <f>IF(B47&lt;&gt;"",VLOOKUP(B47,'[9]IRR MES'!$C$5:$AK$600,12),"")</f>
        <v>#REF!</v>
      </c>
      <c r="BD47" s="181" t="e">
        <f>IF(B47&lt;&gt;"",VLOOKUP(B47,'[9]IRR MES'!$C$5:$AK$600,14),"")</f>
        <v>#REF!</v>
      </c>
      <c r="BE47" s="247" t="e">
        <f>IF(B47&lt;&gt;"",VLOOKUP(B47,'[9]IRR MES'!$C$5:$AK$600,15),"")</f>
        <v>#REF!</v>
      </c>
      <c r="BF47" s="181" t="e">
        <f>IF(B47&lt;&gt;"",VLOOKUP(B47,'[9]IRR MES'!$C$5:$AK$600,17),"")</f>
        <v>#REF!</v>
      </c>
      <c r="BG47" s="247" t="e">
        <f>IF(B47&lt;&gt;"",VLOOKUP(B47,'[9]IRR MES'!$C$5:$AK$600,18),"")</f>
        <v>#REF!</v>
      </c>
      <c r="BH47" s="181" t="e">
        <f>IF(B47&lt;&gt;"",VLOOKUP(B47,'[9]IRR MES'!$C$5:$AK$600,20),"")</f>
        <v>#REF!</v>
      </c>
      <c r="BI47" s="247" t="e">
        <f>IF(B47&lt;&gt;"",VLOOKUP(B47,'[9]IRR MES'!$C$5:$AK$600,21),"")</f>
        <v>#REF!</v>
      </c>
      <c r="BJ47" s="181" t="e">
        <f>IF(B47&lt;&gt;"",VLOOKUP(B47,'[9]IRR MES'!$C$5:$AK$600,23),"")</f>
        <v>#REF!</v>
      </c>
      <c r="BK47" s="247" t="e">
        <f>IF(B47&lt;&gt;"",VLOOKUP(B47,'[9]IRR MES'!$C$5:$AK$600,24),"")</f>
        <v>#REF!</v>
      </c>
      <c r="BL47" s="181" t="e">
        <f>IF(B47&lt;&gt;"",VLOOKUP(B47,'[9]IRR MES'!$C$5:$AK$600,26),"")</f>
        <v>#REF!</v>
      </c>
      <c r="BM47" s="247" t="e">
        <f>IF(B47&lt;&gt;"",VLOOKUP(B47,'[9]IRR MES'!$C$5:$AK$600,27),"")</f>
        <v>#REF!</v>
      </c>
      <c r="BN47" s="181" t="e">
        <f>IF(B47&lt;&gt;"",VLOOKUP(B47,'[9]IRR MES'!$C$5:$AK$600,29),"")</f>
        <v>#REF!</v>
      </c>
      <c r="BO47" s="247" t="e">
        <f>IF(B47&lt;&gt;"",VLOOKUP(B47,'[9]IRR MES'!$C$5:$AK$600,30),"")</f>
        <v>#REF!</v>
      </c>
      <c r="BP47" s="181" t="e">
        <f>IF(B47&lt;&gt;"",VLOOKUP(B47,'[9]IRR MES'!$C$5:$AK$600,32),"")</f>
        <v>#REF!</v>
      </c>
      <c r="BQ47" s="181" t="e">
        <f>IF(B47&lt;&gt;"",VLOOKUP(B47,'[9]IRR MES'!$C$5:$AK$600,33),"")</f>
        <v>#REF!</v>
      </c>
      <c r="BR47" s="181" t="e">
        <f t="shared" si="54"/>
        <v>#REF!</v>
      </c>
      <c r="BS47" s="181" t="e">
        <f>IF(B47&lt;&gt;"",VLOOKUP(B47,'[9]IRR MES'!$C$5:$AK$600,34),"")</f>
        <v>#REF!</v>
      </c>
      <c r="BT47" s="248" t="e">
        <f>IF(B47&lt;&gt;"",VLOOKUP(B47,'[9]IRR MES'!$C$1:$AK$600,4),"")</f>
        <v>#REF!</v>
      </c>
      <c r="BU47" s="248" t="e">
        <f>IF(B47&lt;&gt;"",VLOOKUP(B47,'[9]IRR MES'!$C$1:$AK$600,7),"")</f>
        <v>#REF!</v>
      </c>
      <c r="BV47" s="248" t="e">
        <f>IF(B47&lt;&gt;"",VLOOKUP(B47,'[9]IRR MES'!$C$1:$AK$600,10),"")</f>
        <v>#REF!</v>
      </c>
      <c r="BW47" s="248" t="e">
        <f>IF(B47&lt;&gt;"",VLOOKUP(B47,'[9]IRR MES'!$C$1:$AK$600,13),"")</f>
        <v>#REF!</v>
      </c>
      <c r="BX47" s="248" t="e">
        <f>IF(B47&lt;&gt;"",VLOOKUP(B47,'[9]IRR MES'!$C$1:$AK$600,16),"")</f>
        <v>#REF!</v>
      </c>
      <c r="BY47" s="248" t="e">
        <f>IF(B47&lt;&gt;"",VLOOKUP(B47,'[9]IRR MES'!$C$1:$AK$600,19),"")</f>
        <v>#REF!</v>
      </c>
      <c r="BZ47" s="248" t="e">
        <f>IF(B47&lt;&gt;"",VLOOKUP(B47,'[9]IRR MES'!$C$1:$AK$600,22),"")</f>
        <v>#REF!</v>
      </c>
      <c r="CA47" s="248" t="e">
        <f>IF(B47&lt;&gt;"",VLOOKUP(B47,'[9]IRR MES'!$C$1:$AK$600,25),"")</f>
        <v>#REF!</v>
      </c>
      <c r="CB47" s="248" t="e">
        <f>IF(B47&lt;&gt;"",VLOOKUP(B47,'[9]IRR MES'!$C$1:$AK$600,28),"")</f>
        <v>#REF!</v>
      </c>
      <c r="CC47" s="248" t="e">
        <f>IF(B47&lt;&gt;"",VLOOKUP(B47,'[9]IRR MES'!$C$1:$AK$600,31),"")</f>
        <v>#REF!</v>
      </c>
      <c r="CD47" s="249" t="e">
        <f>#REF!</f>
        <v>#REF!</v>
      </c>
    </row>
    <row r="48" spans="1:82" x14ac:dyDescent="0.2">
      <c r="A48" s="10" t="e">
        <f t="shared" si="29"/>
        <v>#REF!</v>
      </c>
      <c r="B48" s="50" t="e">
        <f>#REF!</f>
        <v>#REF!</v>
      </c>
      <c r="C48" s="38">
        <f>'LEVANTAMENTO DADOS'!B46</f>
        <v>6771.27</v>
      </c>
      <c r="D48" s="63" t="e">
        <f>'BASE DE CALCULO IR'!W48</f>
        <v>#REF!</v>
      </c>
      <c r="E48" s="63"/>
      <c r="F48" s="60"/>
      <c r="G48" s="63"/>
      <c r="H48" s="63"/>
      <c r="I48" s="63"/>
      <c r="J48" s="63"/>
      <c r="K48" s="61"/>
      <c r="L48" s="61"/>
      <c r="M48" s="61"/>
      <c r="N48" s="60"/>
      <c r="O48" s="60"/>
      <c r="P48" s="60"/>
      <c r="Q48" s="62"/>
      <c r="R48" s="62" t="e">
        <f t="shared" si="30"/>
        <v>#REF!</v>
      </c>
      <c r="S48" s="63" t="e">
        <f t="shared" si="31"/>
        <v>#REF!</v>
      </c>
      <c r="T48" s="250"/>
      <c r="U48" s="63" t="e">
        <f t="shared" si="32"/>
        <v>#REF!</v>
      </c>
      <c r="V48" s="63" t="e">
        <f>#REF!</f>
        <v>#REF!</v>
      </c>
      <c r="W48" s="63" t="e">
        <f t="shared" si="33"/>
        <v>#REF!</v>
      </c>
      <c r="X48" s="242" t="e">
        <f t="shared" si="34"/>
        <v>#REF!</v>
      </c>
      <c r="Y48" s="34" t="e">
        <f t="shared" si="28"/>
        <v>#REF!</v>
      </c>
      <c r="Z48" s="34" t="e">
        <f t="shared" si="35"/>
        <v>#REF!</v>
      </c>
      <c r="AA48" s="176" t="e">
        <f t="shared" si="36"/>
        <v>#REF!</v>
      </c>
      <c r="AB48" s="11" t="e">
        <f t="shared" si="37"/>
        <v>#REF!</v>
      </c>
      <c r="AC48" s="245" t="e">
        <f t="shared" si="38"/>
        <v>#REF!</v>
      </c>
      <c r="AD48" s="245" t="e">
        <f t="shared" si="39"/>
        <v>#REF!</v>
      </c>
      <c r="AE48" s="245"/>
      <c r="AF48" s="245" t="e">
        <f t="shared" si="40"/>
        <v>#REF!</v>
      </c>
      <c r="AG48" s="173" t="e">
        <f t="shared" si="41"/>
        <v>#REF!</v>
      </c>
      <c r="AH48" s="51" t="e">
        <f t="shared" si="42"/>
        <v>#REF!</v>
      </c>
      <c r="AI48" s="63" t="e">
        <f>IF(B48&lt;&gt;"",VLOOKUP(B48,'[9]IRR MES'!$C$15:$AK$600,32),"")</f>
        <v>#REF!</v>
      </c>
      <c r="AJ48" s="246" t="e">
        <f t="shared" si="43"/>
        <v>#REF!</v>
      </c>
      <c r="AK48" s="181" t="e">
        <f t="shared" si="44"/>
        <v>#REF!</v>
      </c>
      <c r="AL48" s="181" t="e">
        <f t="shared" si="45"/>
        <v>#REF!</v>
      </c>
      <c r="AM48" s="181" t="e">
        <f t="shared" si="46"/>
        <v>#REF!</v>
      </c>
      <c r="AN48" s="181" t="e">
        <f t="shared" si="47"/>
        <v>#REF!</v>
      </c>
      <c r="AO48" s="181" t="e">
        <f t="shared" si="48"/>
        <v>#REF!</v>
      </c>
      <c r="AP48" s="181" t="e">
        <f t="shared" si="49"/>
        <v>#REF!</v>
      </c>
      <c r="AQ48" s="181" t="e">
        <f t="shared" si="50"/>
        <v>#REF!</v>
      </c>
      <c r="AR48" s="181" t="e">
        <f t="shared" si="51"/>
        <v>#REF!</v>
      </c>
      <c r="AS48" s="181" t="e">
        <f t="shared" si="52"/>
        <v>#REF!</v>
      </c>
      <c r="AT48" s="181" t="e">
        <f t="shared" si="53"/>
        <v>#REF!</v>
      </c>
      <c r="AU48" s="181"/>
      <c r="AV48" s="63"/>
      <c r="AW48" s="181" t="e">
        <f>IF(B48&lt;&gt;"",VLOOKUP(B48,'[9]IRR MES'!$C$5:$AK$600,2),"")</f>
        <v>#REF!</v>
      </c>
      <c r="AX48" s="247" t="e">
        <f>IF(B48&lt;&gt;"",VLOOKUP(B48,'[9]IRR MES'!$C$5:$AK$600,3),"")</f>
        <v>#REF!</v>
      </c>
      <c r="AY48" s="181" t="e">
        <f>IF(B48&lt;&gt;"",VLOOKUP(B48,'[9]IRR MES'!$C$5:$AK$600,5),"")</f>
        <v>#REF!</v>
      </c>
      <c r="AZ48" s="247" t="e">
        <f>IF(B48&lt;&gt;"",VLOOKUP(B48,'[9]IRR MES'!$C$5:$AK$600,6),"")</f>
        <v>#REF!</v>
      </c>
      <c r="BA48" s="181" t="e">
        <f>IF(B48&lt;&gt;"",VLOOKUP(B48,'[9]IRR MES'!$C$5:$AK$600,8),"")</f>
        <v>#REF!</v>
      </c>
      <c r="BB48" s="247" t="e">
        <f>IF(B48&lt;&gt;"",VLOOKUP(B48,'[9]IRR MES'!$C$5:$AK$600,9),"")</f>
        <v>#REF!</v>
      </c>
      <c r="BC48" s="247" t="e">
        <f>IF(B48&lt;&gt;"",VLOOKUP(B48,'[9]IRR MES'!$C$5:$AK$600,12),"")</f>
        <v>#REF!</v>
      </c>
      <c r="BD48" s="181" t="e">
        <f>IF(B48&lt;&gt;"",VLOOKUP(B48,'[9]IRR MES'!$C$5:$AK$600,14),"")</f>
        <v>#REF!</v>
      </c>
      <c r="BE48" s="247" t="e">
        <f>IF(B48&lt;&gt;"",VLOOKUP(B48,'[9]IRR MES'!$C$5:$AK$600,15),"")</f>
        <v>#REF!</v>
      </c>
      <c r="BF48" s="181" t="e">
        <f>IF(B48&lt;&gt;"",VLOOKUP(B48,'[9]IRR MES'!$C$5:$AK$600,17),"")</f>
        <v>#REF!</v>
      </c>
      <c r="BG48" s="247" t="e">
        <f>IF(B48&lt;&gt;"",VLOOKUP(B48,'[9]IRR MES'!$C$5:$AK$600,18),"")</f>
        <v>#REF!</v>
      </c>
      <c r="BH48" s="181" t="e">
        <f>IF(B48&lt;&gt;"",VLOOKUP(B48,'[9]IRR MES'!$C$5:$AK$600,20),"")</f>
        <v>#REF!</v>
      </c>
      <c r="BI48" s="247" t="e">
        <f>IF(B48&lt;&gt;"",VLOOKUP(B48,'[9]IRR MES'!$C$5:$AK$600,21),"")</f>
        <v>#REF!</v>
      </c>
      <c r="BJ48" s="181" t="e">
        <f>IF(B48&lt;&gt;"",VLOOKUP(B48,'[9]IRR MES'!$C$5:$AK$600,23),"")</f>
        <v>#REF!</v>
      </c>
      <c r="BK48" s="247" t="e">
        <f>IF(B48&lt;&gt;"",VLOOKUP(B48,'[9]IRR MES'!$C$5:$AK$600,24),"")</f>
        <v>#REF!</v>
      </c>
      <c r="BL48" s="181" t="e">
        <f>IF(B48&lt;&gt;"",VLOOKUP(B48,'[9]IRR MES'!$C$5:$AK$600,26),"")</f>
        <v>#REF!</v>
      </c>
      <c r="BM48" s="247" t="e">
        <f>IF(B48&lt;&gt;"",VLOOKUP(B48,'[9]IRR MES'!$C$5:$AK$600,27),"")</f>
        <v>#REF!</v>
      </c>
      <c r="BN48" s="181" t="e">
        <f>IF(B48&lt;&gt;"",VLOOKUP(B48,'[9]IRR MES'!$C$5:$AK$600,29),"")</f>
        <v>#REF!</v>
      </c>
      <c r="BO48" s="247" t="e">
        <f>IF(B48&lt;&gt;"",VLOOKUP(B48,'[9]IRR MES'!$C$5:$AK$600,30),"")</f>
        <v>#REF!</v>
      </c>
      <c r="BP48" s="181" t="e">
        <f>IF(B48&lt;&gt;"",VLOOKUP(B48,'[9]IRR MES'!$C$5:$AK$600,32),"")</f>
        <v>#REF!</v>
      </c>
      <c r="BQ48" s="181" t="e">
        <f>IF(B48&lt;&gt;"",VLOOKUP(B48,'[9]IRR MES'!$C$5:$AK$600,33),"")</f>
        <v>#REF!</v>
      </c>
      <c r="BR48" s="181" t="e">
        <f t="shared" si="54"/>
        <v>#REF!</v>
      </c>
      <c r="BS48" s="181" t="e">
        <f>IF(B48&lt;&gt;"",VLOOKUP(B48,'[9]IRR MES'!$C$5:$AK$600,34),"")</f>
        <v>#REF!</v>
      </c>
      <c r="BT48" s="248" t="e">
        <f>IF(B48&lt;&gt;"",VLOOKUP(B48,'[9]IRR MES'!$C$1:$AK$600,4),"")</f>
        <v>#REF!</v>
      </c>
      <c r="BU48" s="248" t="e">
        <f>IF(B48&lt;&gt;"",VLOOKUP(B48,'[9]IRR MES'!$C$1:$AK$600,7),"")</f>
        <v>#REF!</v>
      </c>
      <c r="BV48" s="248" t="e">
        <f>IF(B48&lt;&gt;"",VLOOKUP(B48,'[9]IRR MES'!$C$1:$AK$600,10),"")</f>
        <v>#REF!</v>
      </c>
      <c r="BW48" s="248" t="e">
        <f>IF(B48&lt;&gt;"",VLOOKUP(B48,'[9]IRR MES'!$C$1:$AK$600,13),"")</f>
        <v>#REF!</v>
      </c>
      <c r="BX48" s="248" t="e">
        <f>IF(B48&lt;&gt;"",VLOOKUP(B48,'[9]IRR MES'!$C$1:$AK$600,16),"")</f>
        <v>#REF!</v>
      </c>
      <c r="BY48" s="248" t="e">
        <f>IF(B48&lt;&gt;"",VLOOKUP(B48,'[9]IRR MES'!$C$1:$AK$600,19),"")</f>
        <v>#REF!</v>
      </c>
      <c r="BZ48" s="248" t="e">
        <f>IF(B48&lt;&gt;"",VLOOKUP(B48,'[9]IRR MES'!$C$1:$AK$600,22),"")</f>
        <v>#REF!</v>
      </c>
      <c r="CA48" s="248" t="e">
        <f>IF(B48&lt;&gt;"",VLOOKUP(B48,'[9]IRR MES'!$C$1:$AK$600,25),"")</f>
        <v>#REF!</v>
      </c>
      <c r="CB48" s="248" t="e">
        <f>IF(B48&lt;&gt;"",VLOOKUP(B48,'[9]IRR MES'!$C$1:$AK$600,28),"")</f>
        <v>#REF!</v>
      </c>
      <c r="CC48" s="248" t="e">
        <f>IF(B48&lt;&gt;"",VLOOKUP(B48,'[9]IRR MES'!$C$1:$AK$600,31),"")</f>
        <v>#REF!</v>
      </c>
      <c r="CD48" s="249" t="e">
        <f>#REF!</f>
        <v>#REF!</v>
      </c>
    </row>
    <row r="49" spans="1:82" x14ac:dyDescent="0.2">
      <c r="A49" s="10" t="e">
        <f t="shared" si="29"/>
        <v>#REF!</v>
      </c>
      <c r="B49" s="50" t="e">
        <f>#REF!</f>
        <v>#REF!</v>
      </c>
      <c r="C49" s="38">
        <f>'LEVANTAMENTO DADOS'!B47</f>
        <v>4099.67</v>
      </c>
      <c r="D49" s="63" t="e">
        <f>'BASE DE CALCULO IR'!W49</f>
        <v>#REF!</v>
      </c>
      <c r="E49" s="63"/>
      <c r="F49" s="60"/>
      <c r="G49" s="63"/>
      <c r="H49" s="63"/>
      <c r="I49" s="63"/>
      <c r="J49" s="63"/>
      <c r="K49" s="61"/>
      <c r="L49" s="61"/>
      <c r="M49" s="61"/>
      <c r="N49" s="60"/>
      <c r="O49" s="60"/>
      <c r="P49" s="60"/>
      <c r="Q49" s="62"/>
      <c r="R49" s="62" t="e">
        <f t="shared" si="30"/>
        <v>#REF!</v>
      </c>
      <c r="S49" s="63" t="e">
        <f t="shared" si="31"/>
        <v>#REF!</v>
      </c>
      <c r="T49" s="250"/>
      <c r="U49" s="63" t="e">
        <f t="shared" si="32"/>
        <v>#REF!</v>
      </c>
      <c r="V49" s="63" t="e">
        <f>#REF!</f>
        <v>#REF!</v>
      </c>
      <c r="W49" s="63" t="e">
        <f t="shared" si="33"/>
        <v>#REF!</v>
      </c>
      <c r="X49" s="242" t="e">
        <f t="shared" si="34"/>
        <v>#REF!</v>
      </c>
      <c r="Y49" s="34" t="e">
        <f t="shared" si="28"/>
        <v>#REF!</v>
      </c>
      <c r="Z49" s="34" t="e">
        <f t="shared" si="35"/>
        <v>#REF!</v>
      </c>
      <c r="AA49" s="176" t="e">
        <f t="shared" si="36"/>
        <v>#REF!</v>
      </c>
      <c r="AB49" s="11" t="e">
        <f t="shared" si="37"/>
        <v>#REF!</v>
      </c>
      <c r="AC49" s="245" t="e">
        <f t="shared" si="38"/>
        <v>#REF!</v>
      </c>
      <c r="AD49" s="245" t="e">
        <f t="shared" si="39"/>
        <v>#REF!</v>
      </c>
      <c r="AE49" s="245"/>
      <c r="AF49" s="245" t="e">
        <f t="shared" si="40"/>
        <v>#REF!</v>
      </c>
      <c r="AG49" s="173" t="e">
        <f t="shared" si="41"/>
        <v>#REF!</v>
      </c>
      <c r="AH49" s="51" t="e">
        <f t="shared" si="42"/>
        <v>#REF!</v>
      </c>
      <c r="AI49" s="63" t="e">
        <f>IF(B49&lt;&gt;"",VLOOKUP(B49,'[9]IRR MES'!$C$15:$AK$600,32),"")</f>
        <v>#REF!</v>
      </c>
      <c r="AJ49" s="246" t="e">
        <f t="shared" si="43"/>
        <v>#REF!</v>
      </c>
      <c r="AK49" s="181" t="e">
        <f t="shared" si="44"/>
        <v>#REF!</v>
      </c>
      <c r="AL49" s="181" t="e">
        <f t="shared" si="45"/>
        <v>#REF!</v>
      </c>
      <c r="AM49" s="181" t="e">
        <f t="shared" si="46"/>
        <v>#REF!</v>
      </c>
      <c r="AN49" s="181" t="e">
        <f t="shared" si="47"/>
        <v>#REF!</v>
      </c>
      <c r="AO49" s="181" t="e">
        <f t="shared" si="48"/>
        <v>#REF!</v>
      </c>
      <c r="AP49" s="181" t="e">
        <f t="shared" si="49"/>
        <v>#REF!</v>
      </c>
      <c r="AQ49" s="181" t="e">
        <f t="shared" si="50"/>
        <v>#REF!</v>
      </c>
      <c r="AR49" s="181" t="e">
        <f t="shared" si="51"/>
        <v>#REF!</v>
      </c>
      <c r="AS49" s="181" t="e">
        <f t="shared" si="52"/>
        <v>#REF!</v>
      </c>
      <c r="AT49" s="181" t="e">
        <f t="shared" si="53"/>
        <v>#REF!</v>
      </c>
      <c r="AU49" s="181"/>
      <c r="AV49" s="63"/>
      <c r="AW49" s="181" t="e">
        <f>IF(B49&lt;&gt;"",VLOOKUP(B49,'[9]IRR MES'!$C$5:$AK$600,2),"")</f>
        <v>#REF!</v>
      </c>
      <c r="AX49" s="247" t="e">
        <f>IF(B49&lt;&gt;"",VLOOKUP(B49,'[9]IRR MES'!$C$5:$AK$600,3),"")</f>
        <v>#REF!</v>
      </c>
      <c r="AY49" s="181" t="e">
        <f>IF(B49&lt;&gt;"",VLOOKUP(B49,'[9]IRR MES'!$C$5:$AK$600,5),"")</f>
        <v>#REF!</v>
      </c>
      <c r="AZ49" s="247" t="e">
        <f>IF(B49&lt;&gt;"",VLOOKUP(B49,'[9]IRR MES'!$C$5:$AK$600,6),"")</f>
        <v>#REF!</v>
      </c>
      <c r="BA49" s="181" t="e">
        <f>IF(B49&lt;&gt;"",VLOOKUP(B49,'[9]IRR MES'!$C$5:$AK$600,8),"")</f>
        <v>#REF!</v>
      </c>
      <c r="BB49" s="247" t="e">
        <f>IF(B49&lt;&gt;"",VLOOKUP(B49,'[9]IRR MES'!$C$5:$AK$600,9),"")</f>
        <v>#REF!</v>
      </c>
      <c r="BC49" s="247" t="e">
        <f>IF(B49&lt;&gt;"",VLOOKUP(B49,'[9]IRR MES'!$C$5:$AK$600,12),"")</f>
        <v>#REF!</v>
      </c>
      <c r="BD49" s="181" t="e">
        <f>IF(B49&lt;&gt;"",VLOOKUP(B49,'[9]IRR MES'!$C$5:$AK$600,14),"")</f>
        <v>#REF!</v>
      </c>
      <c r="BE49" s="247" t="e">
        <f>IF(B49&lt;&gt;"",VLOOKUP(B49,'[9]IRR MES'!$C$5:$AK$600,15),"")</f>
        <v>#REF!</v>
      </c>
      <c r="BF49" s="181" t="e">
        <f>IF(B49&lt;&gt;"",VLOOKUP(B49,'[9]IRR MES'!$C$5:$AK$600,17),"")</f>
        <v>#REF!</v>
      </c>
      <c r="BG49" s="247" t="e">
        <f>IF(B49&lt;&gt;"",VLOOKUP(B49,'[9]IRR MES'!$C$5:$AK$600,18),"")</f>
        <v>#REF!</v>
      </c>
      <c r="BH49" s="181" t="e">
        <f>IF(B49&lt;&gt;"",VLOOKUP(B49,'[9]IRR MES'!$C$5:$AK$600,20),"")</f>
        <v>#REF!</v>
      </c>
      <c r="BI49" s="247" t="e">
        <f>IF(B49&lt;&gt;"",VLOOKUP(B49,'[9]IRR MES'!$C$5:$AK$600,21),"")</f>
        <v>#REF!</v>
      </c>
      <c r="BJ49" s="181" t="e">
        <f>IF(B49&lt;&gt;"",VLOOKUP(B49,'[9]IRR MES'!$C$5:$AK$600,23),"")</f>
        <v>#REF!</v>
      </c>
      <c r="BK49" s="247" t="e">
        <f>IF(B49&lt;&gt;"",VLOOKUP(B49,'[9]IRR MES'!$C$5:$AK$600,24),"")</f>
        <v>#REF!</v>
      </c>
      <c r="BL49" s="181" t="e">
        <f>IF(B49&lt;&gt;"",VLOOKUP(B49,'[9]IRR MES'!$C$5:$AK$600,26),"")</f>
        <v>#REF!</v>
      </c>
      <c r="BM49" s="247" t="e">
        <f>IF(B49&lt;&gt;"",VLOOKUP(B49,'[9]IRR MES'!$C$5:$AK$600,27),"")</f>
        <v>#REF!</v>
      </c>
      <c r="BN49" s="181" t="e">
        <f>IF(B49&lt;&gt;"",VLOOKUP(B49,'[9]IRR MES'!$C$5:$AK$600,29),"")</f>
        <v>#REF!</v>
      </c>
      <c r="BO49" s="247" t="e">
        <f>IF(B49&lt;&gt;"",VLOOKUP(B49,'[9]IRR MES'!$C$5:$AK$600,30),"")</f>
        <v>#REF!</v>
      </c>
      <c r="BP49" s="181" t="e">
        <f>IF(B49&lt;&gt;"",VLOOKUP(B49,'[9]IRR MES'!$C$5:$AK$600,32),"")</f>
        <v>#REF!</v>
      </c>
      <c r="BQ49" s="181" t="e">
        <f>IF(B49&lt;&gt;"",VLOOKUP(B49,'[9]IRR MES'!$C$5:$AK$600,33),"")</f>
        <v>#REF!</v>
      </c>
      <c r="BR49" s="181" t="e">
        <f t="shared" si="54"/>
        <v>#REF!</v>
      </c>
      <c r="BS49" s="181" t="e">
        <f>IF(B49&lt;&gt;"",VLOOKUP(B49,'[9]IRR MES'!$C$5:$AK$600,34),"")</f>
        <v>#REF!</v>
      </c>
      <c r="BT49" s="248" t="e">
        <f>IF(B49&lt;&gt;"",VLOOKUP(B49,'[9]IRR MES'!$C$1:$AK$600,4),"")</f>
        <v>#REF!</v>
      </c>
      <c r="BU49" s="248" t="e">
        <f>IF(B49&lt;&gt;"",VLOOKUP(B49,'[9]IRR MES'!$C$1:$AK$600,7),"")</f>
        <v>#REF!</v>
      </c>
      <c r="BV49" s="248" t="e">
        <f>IF(B49&lt;&gt;"",VLOOKUP(B49,'[9]IRR MES'!$C$1:$AK$600,10),"")</f>
        <v>#REF!</v>
      </c>
      <c r="BW49" s="248" t="e">
        <f>IF(B49&lt;&gt;"",VLOOKUP(B49,'[9]IRR MES'!$C$1:$AK$600,13),"")</f>
        <v>#REF!</v>
      </c>
      <c r="BX49" s="248" t="e">
        <f>IF(B49&lt;&gt;"",VLOOKUP(B49,'[9]IRR MES'!$C$1:$AK$600,16),"")</f>
        <v>#REF!</v>
      </c>
      <c r="BY49" s="248" t="e">
        <f>IF(B49&lt;&gt;"",VLOOKUP(B49,'[9]IRR MES'!$C$1:$AK$600,19),"")</f>
        <v>#REF!</v>
      </c>
      <c r="BZ49" s="248" t="e">
        <f>IF(B49&lt;&gt;"",VLOOKUP(B49,'[9]IRR MES'!$C$1:$AK$600,22),"")</f>
        <v>#REF!</v>
      </c>
      <c r="CA49" s="248" t="e">
        <f>IF(B49&lt;&gt;"",VLOOKUP(B49,'[9]IRR MES'!$C$1:$AK$600,25),"")</f>
        <v>#REF!</v>
      </c>
      <c r="CB49" s="248" t="e">
        <f>IF(B49&lt;&gt;"",VLOOKUP(B49,'[9]IRR MES'!$C$1:$AK$600,28),"")</f>
        <v>#REF!</v>
      </c>
      <c r="CC49" s="248" t="e">
        <f>IF(B49&lt;&gt;"",VLOOKUP(B49,'[9]IRR MES'!$C$1:$AK$600,31),"")</f>
        <v>#REF!</v>
      </c>
      <c r="CD49" s="249" t="e">
        <f>#REF!</f>
        <v>#REF!</v>
      </c>
    </row>
    <row r="50" spans="1:82" x14ac:dyDescent="0.2">
      <c r="A50" s="10" t="e">
        <f t="shared" si="29"/>
        <v>#REF!</v>
      </c>
      <c r="B50" s="50" t="e">
        <f>#REF!</f>
        <v>#REF!</v>
      </c>
      <c r="C50" s="38">
        <f>'LEVANTAMENTO DADOS'!B48</f>
        <v>5416.18</v>
      </c>
      <c r="D50" s="63" t="e">
        <f>'BASE DE CALCULO IR'!W50</f>
        <v>#REF!</v>
      </c>
      <c r="E50" s="63"/>
      <c r="F50" s="60"/>
      <c r="G50" s="63"/>
      <c r="H50" s="63"/>
      <c r="I50" s="63"/>
      <c r="J50" s="63"/>
      <c r="K50" s="61"/>
      <c r="L50" s="61"/>
      <c r="M50" s="61"/>
      <c r="N50" s="60"/>
      <c r="O50" s="60"/>
      <c r="P50" s="60"/>
      <c r="Q50" s="62"/>
      <c r="R50" s="62" t="e">
        <f t="shared" si="30"/>
        <v>#REF!</v>
      </c>
      <c r="S50" s="63" t="e">
        <f t="shared" si="31"/>
        <v>#REF!</v>
      </c>
      <c r="T50" s="250"/>
      <c r="U50" s="63" t="e">
        <f t="shared" si="32"/>
        <v>#REF!</v>
      </c>
      <c r="V50" s="63" t="e">
        <f>#REF!</f>
        <v>#REF!</v>
      </c>
      <c r="W50" s="63" t="e">
        <f t="shared" si="33"/>
        <v>#REF!</v>
      </c>
      <c r="X50" s="242" t="e">
        <f t="shared" si="34"/>
        <v>#REF!</v>
      </c>
      <c r="Y50" s="34" t="e">
        <f t="shared" si="28"/>
        <v>#REF!</v>
      </c>
      <c r="Z50" s="34" t="e">
        <f t="shared" si="35"/>
        <v>#REF!</v>
      </c>
      <c r="AA50" s="176" t="e">
        <f t="shared" si="36"/>
        <v>#REF!</v>
      </c>
      <c r="AB50" s="11" t="e">
        <f t="shared" si="37"/>
        <v>#REF!</v>
      </c>
      <c r="AC50" s="245" t="e">
        <f t="shared" si="38"/>
        <v>#REF!</v>
      </c>
      <c r="AD50" s="245" t="e">
        <f t="shared" si="39"/>
        <v>#REF!</v>
      </c>
      <c r="AE50" s="245"/>
      <c r="AF50" s="245" t="e">
        <f t="shared" si="40"/>
        <v>#REF!</v>
      </c>
      <c r="AG50" s="173" t="e">
        <f t="shared" si="41"/>
        <v>#REF!</v>
      </c>
      <c r="AH50" s="51" t="e">
        <f t="shared" si="42"/>
        <v>#REF!</v>
      </c>
      <c r="AI50" s="63" t="e">
        <f>IF(B50&lt;&gt;"",VLOOKUP(B50,'[9]IRR MES'!$C$15:$AK$600,32),"")</f>
        <v>#REF!</v>
      </c>
      <c r="AJ50" s="246" t="e">
        <f t="shared" si="43"/>
        <v>#REF!</v>
      </c>
      <c r="AK50" s="181" t="e">
        <f t="shared" si="44"/>
        <v>#REF!</v>
      </c>
      <c r="AL50" s="181" t="e">
        <f t="shared" si="45"/>
        <v>#REF!</v>
      </c>
      <c r="AM50" s="181" t="e">
        <f t="shared" si="46"/>
        <v>#REF!</v>
      </c>
      <c r="AN50" s="181" t="e">
        <f t="shared" si="47"/>
        <v>#REF!</v>
      </c>
      <c r="AO50" s="181" t="e">
        <f t="shared" si="48"/>
        <v>#REF!</v>
      </c>
      <c r="AP50" s="181" t="e">
        <f t="shared" si="49"/>
        <v>#REF!</v>
      </c>
      <c r="AQ50" s="181" t="e">
        <f t="shared" si="50"/>
        <v>#REF!</v>
      </c>
      <c r="AR50" s="181" t="e">
        <f t="shared" si="51"/>
        <v>#REF!</v>
      </c>
      <c r="AS50" s="181" t="e">
        <f t="shared" si="52"/>
        <v>#REF!</v>
      </c>
      <c r="AT50" s="181" t="e">
        <f t="shared" si="53"/>
        <v>#REF!</v>
      </c>
      <c r="AU50" s="181"/>
      <c r="AV50" s="63"/>
      <c r="AW50" s="181" t="e">
        <f>IF(B50&lt;&gt;"",VLOOKUP(B50,'[9]IRR MES'!$C$5:$AK$600,2),"")</f>
        <v>#REF!</v>
      </c>
      <c r="AX50" s="247" t="e">
        <f>IF(B50&lt;&gt;"",VLOOKUP(B50,'[9]IRR MES'!$C$5:$AK$600,3),"")</f>
        <v>#REF!</v>
      </c>
      <c r="AY50" s="181" t="e">
        <f>IF(B50&lt;&gt;"",VLOOKUP(B50,'[9]IRR MES'!$C$5:$AK$600,5),"")</f>
        <v>#REF!</v>
      </c>
      <c r="AZ50" s="247" t="e">
        <f>IF(B50&lt;&gt;"",VLOOKUP(B50,'[9]IRR MES'!$C$5:$AK$600,6),"")</f>
        <v>#REF!</v>
      </c>
      <c r="BA50" s="181" t="e">
        <f>IF(B50&lt;&gt;"",VLOOKUP(B50,'[9]IRR MES'!$C$5:$AK$600,8),"")</f>
        <v>#REF!</v>
      </c>
      <c r="BB50" s="247" t="e">
        <f>IF(B50&lt;&gt;"",VLOOKUP(B50,'[9]IRR MES'!$C$5:$AK$600,9),"")</f>
        <v>#REF!</v>
      </c>
      <c r="BC50" s="247" t="e">
        <f>IF(B50&lt;&gt;"",VLOOKUP(B50,'[9]IRR MES'!$C$5:$AK$600,12),"")</f>
        <v>#REF!</v>
      </c>
      <c r="BD50" s="181" t="e">
        <f>IF(B50&lt;&gt;"",VLOOKUP(B50,'[9]IRR MES'!$C$5:$AK$600,14),"")</f>
        <v>#REF!</v>
      </c>
      <c r="BE50" s="247" t="e">
        <f>IF(B50&lt;&gt;"",VLOOKUP(B50,'[9]IRR MES'!$C$5:$AK$600,15),"")</f>
        <v>#REF!</v>
      </c>
      <c r="BF50" s="181" t="e">
        <f>IF(B50&lt;&gt;"",VLOOKUP(B50,'[9]IRR MES'!$C$5:$AK$600,17),"")</f>
        <v>#REF!</v>
      </c>
      <c r="BG50" s="247" t="e">
        <f>IF(B50&lt;&gt;"",VLOOKUP(B50,'[9]IRR MES'!$C$5:$AK$600,18),"")</f>
        <v>#REF!</v>
      </c>
      <c r="BH50" s="181" t="e">
        <f>IF(B50&lt;&gt;"",VLOOKUP(B50,'[9]IRR MES'!$C$5:$AK$600,20),"")</f>
        <v>#REF!</v>
      </c>
      <c r="BI50" s="247" t="e">
        <f>IF(B50&lt;&gt;"",VLOOKUP(B50,'[9]IRR MES'!$C$5:$AK$600,21),"")</f>
        <v>#REF!</v>
      </c>
      <c r="BJ50" s="181" t="e">
        <f>IF(B50&lt;&gt;"",VLOOKUP(B50,'[9]IRR MES'!$C$5:$AK$600,23),"")</f>
        <v>#REF!</v>
      </c>
      <c r="BK50" s="247" t="e">
        <f>IF(B50&lt;&gt;"",VLOOKUP(B50,'[9]IRR MES'!$C$5:$AK$600,24),"")</f>
        <v>#REF!</v>
      </c>
      <c r="BL50" s="181" t="e">
        <f>IF(B50&lt;&gt;"",VLOOKUP(B50,'[9]IRR MES'!$C$5:$AK$600,26),"")</f>
        <v>#REF!</v>
      </c>
      <c r="BM50" s="247" t="e">
        <f>IF(B50&lt;&gt;"",VLOOKUP(B50,'[9]IRR MES'!$C$5:$AK$600,27),"")</f>
        <v>#REF!</v>
      </c>
      <c r="BN50" s="181" t="e">
        <f>IF(B50&lt;&gt;"",VLOOKUP(B50,'[9]IRR MES'!$C$5:$AK$600,29),"")</f>
        <v>#REF!</v>
      </c>
      <c r="BO50" s="247" t="e">
        <f>IF(B50&lt;&gt;"",VLOOKUP(B50,'[9]IRR MES'!$C$5:$AK$600,30),"")</f>
        <v>#REF!</v>
      </c>
      <c r="BP50" s="181" t="e">
        <f>IF(B50&lt;&gt;"",VLOOKUP(B50,'[9]IRR MES'!$C$5:$AK$600,32),"")</f>
        <v>#REF!</v>
      </c>
      <c r="BQ50" s="181" t="e">
        <f>IF(B50&lt;&gt;"",VLOOKUP(B50,'[9]IRR MES'!$C$5:$AK$600,33),"")</f>
        <v>#REF!</v>
      </c>
      <c r="BR50" s="181" t="e">
        <f t="shared" si="54"/>
        <v>#REF!</v>
      </c>
      <c r="BS50" s="181" t="e">
        <f>IF(B50&lt;&gt;"",VLOOKUP(B50,'[9]IRR MES'!$C$5:$AK$600,34),"")</f>
        <v>#REF!</v>
      </c>
      <c r="BT50" s="248" t="e">
        <f>IF(B50&lt;&gt;"",VLOOKUP(B50,'[9]IRR MES'!$C$1:$AK$600,4),"")</f>
        <v>#REF!</v>
      </c>
      <c r="BU50" s="248" t="e">
        <f>IF(B50&lt;&gt;"",VLOOKUP(B50,'[9]IRR MES'!$C$1:$AK$600,7),"")</f>
        <v>#REF!</v>
      </c>
      <c r="BV50" s="248" t="e">
        <f>IF(B50&lt;&gt;"",VLOOKUP(B50,'[9]IRR MES'!$C$1:$AK$600,10),"")</f>
        <v>#REF!</v>
      </c>
      <c r="BW50" s="248" t="e">
        <f>IF(B50&lt;&gt;"",VLOOKUP(B50,'[9]IRR MES'!$C$1:$AK$600,13),"")</f>
        <v>#REF!</v>
      </c>
      <c r="BX50" s="248" t="e">
        <f>IF(B50&lt;&gt;"",VLOOKUP(B50,'[9]IRR MES'!$C$1:$AK$600,16),"")</f>
        <v>#REF!</v>
      </c>
      <c r="BY50" s="248" t="e">
        <f>IF(B50&lt;&gt;"",VLOOKUP(B50,'[9]IRR MES'!$C$1:$AK$600,19),"")</f>
        <v>#REF!</v>
      </c>
      <c r="BZ50" s="248" t="e">
        <f>IF(B50&lt;&gt;"",VLOOKUP(B50,'[9]IRR MES'!$C$1:$AK$600,22),"")</f>
        <v>#REF!</v>
      </c>
      <c r="CA50" s="248" t="e">
        <f>IF(B50&lt;&gt;"",VLOOKUP(B50,'[9]IRR MES'!$C$1:$AK$600,25),"")</f>
        <v>#REF!</v>
      </c>
      <c r="CB50" s="248" t="e">
        <f>IF(B50&lt;&gt;"",VLOOKUP(B50,'[9]IRR MES'!$C$1:$AK$600,28),"")</f>
        <v>#REF!</v>
      </c>
      <c r="CC50" s="248" t="e">
        <f>IF(B50&lt;&gt;"",VLOOKUP(B50,'[9]IRR MES'!$C$1:$AK$600,31),"")</f>
        <v>#REF!</v>
      </c>
      <c r="CD50" s="249" t="e">
        <f>#REF!</f>
        <v>#REF!</v>
      </c>
    </row>
    <row r="51" spans="1:82" x14ac:dyDescent="0.2">
      <c r="A51" s="10" t="e">
        <f t="shared" si="29"/>
        <v>#REF!</v>
      </c>
      <c r="B51" s="50" t="e">
        <f>#REF!</f>
        <v>#REF!</v>
      </c>
      <c r="C51" s="38">
        <f>'LEVANTAMENTO DADOS'!B49</f>
        <v>4420.2299999999996</v>
      </c>
      <c r="D51" s="63" t="e">
        <f>'BASE DE CALCULO IR'!W51</f>
        <v>#REF!</v>
      </c>
      <c r="E51" s="63"/>
      <c r="F51" s="60"/>
      <c r="G51" s="63"/>
      <c r="H51" s="63"/>
      <c r="I51" s="63"/>
      <c r="J51" s="63"/>
      <c r="K51" s="61"/>
      <c r="L51" s="61"/>
      <c r="M51" s="61"/>
      <c r="N51" s="60"/>
      <c r="O51" s="60"/>
      <c r="P51" s="60"/>
      <c r="Q51" s="62"/>
      <c r="R51" s="62" t="e">
        <f t="shared" si="30"/>
        <v>#REF!</v>
      </c>
      <c r="S51" s="63" t="e">
        <f t="shared" si="31"/>
        <v>#REF!</v>
      </c>
      <c r="T51" s="250"/>
      <c r="U51" s="63" t="e">
        <f t="shared" si="32"/>
        <v>#REF!</v>
      </c>
      <c r="V51" s="63" t="e">
        <f>#REF!</f>
        <v>#REF!</v>
      </c>
      <c r="W51" s="63" t="e">
        <f t="shared" si="33"/>
        <v>#REF!</v>
      </c>
      <c r="X51" s="242" t="e">
        <f t="shared" si="34"/>
        <v>#REF!</v>
      </c>
      <c r="Y51" s="34" t="e">
        <f t="shared" si="28"/>
        <v>#REF!</v>
      </c>
      <c r="Z51" s="34" t="e">
        <f t="shared" si="35"/>
        <v>#REF!</v>
      </c>
      <c r="AA51" s="176" t="e">
        <f t="shared" si="36"/>
        <v>#REF!</v>
      </c>
      <c r="AB51" s="11" t="e">
        <f t="shared" si="37"/>
        <v>#REF!</v>
      </c>
      <c r="AC51" s="245" t="e">
        <f t="shared" si="38"/>
        <v>#REF!</v>
      </c>
      <c r="AD51" s="245" t="e">
        <f t="shared" si="39"/>
        <v>#REF!</v>
      </c>
      <c r="AE51" s="245"/>
      <c r="AF51" s="245" t="e">
        <f t="shared" si="40"/>
        <v>#REF!</v>
      </c>
      <c r="AG51" s="173" t="e">
        <f t="shared" si="41"/>
        <v>#REF!</v>
      </c>
      <c r="AH51" s="51" t="e">
        <f t="shared" si="42"/>
        <v>#REF!</v>
      </c>
      <c r="AI51" s="63" t="e">
        <f>IF(B51&lt;&gt;"",VLOOKUP(B51,'[9]IRR MES'!$C$15:$AK$600,32),"")</f>
        <v>#REF!</v>
      </c>
      <c r="AJ51" s="246" t="e">
        <f t="shared" si="43"/>
        <v>#REF!</v>
      </c>
      <c r="AK51" s="181" t="e">
        <f t="shared" si="44"/>
        <v>#REF!</v>
      </c>
      <c r="AL51" s="181" t="e">
        <f t="shared" si="45"/>
        <v>#REF!</v>
      </c>
      <c r="AM51" s="181" t="e">
        <f t="shared" si="46"/>
        <v>#REF!</v>
      </c>
      <c r="AN51" s="181" t="e">
        <f t="shared" si="47"/>
        <v>#REF!</v>
      </c>
      <c r="AO51" s="181" t="e">
        <f t="shared" si="48"/>
        <v>#REF!</v>
      </c>
      <c r="AP51" s="181" t="e">
        <f t="shared" si="49"/>
        <v>#REF!</v>
      </c>
      <c r="AQ51" s="181" t="e">
        <f t="shared" si="50"/>
        <v>#REF!</v>
      </c>
      <c r="AR51" s="181" t="e">
        <f t="shared" si="51"/>
        <v>#REF!</v>
      </c>
      <c r="AS51" s="181" t="e">
        <f t="shared" si="52"/>
        <v>#REF!</v>
      </c>
      <c r="AT51" s="181" t="e">
        <f t="shared" si="53"/>
        <v>#REF!</v>
      </c>
      <c r="AU51" s="181"/>
      <c r="AV51" s="63"/>
      <c r="AW51" s="181" t="e">
        <f>IF(B51&lt;&gt;"",VLOOKUP(B51,'[9]IRR MES'!$C$5:$AK$600,2),"")</f>
        <v>#REF!</v>
      </c>
      <c r="AX51" s="247" t="e">
        <f>IF(B51&lt;&gt;"",VLOOKUP(B51,'[9]IRR MES'!$C$5:$AK$600,3),"")</f>
        <v>#REF!</v>
      </c>
      <c r="AY51" s="181" t="e">
        <f>IF(B51&lt;&gt;"",VLOOKUP(B51,'[9]IRR MES'!$C$5:$AK$600,5),"")</f>
        <v>#REF!</v>
      </c>
      <c r="AZ51" s="247" t="e">
        <f>IF(B51&lt;&gt;"",VLOOKUP(B51,'[9]IRR MES'!$C$5:$AK$600,6),"")</f>
        <v>#REF!</v>
      </c>
      <c r="BA51" s="181" t="e">
        <f>IF(B51&lt;&gt;"",VLOOKUP(B51,'[9]IRR MES'!$C$5:$AK$600,8),"")</f>
        <v>#REF!</v>
      </c>
      <c r="BB51" s="247" t="e">
        <f>IF(B51&lt;&gt;"",VLOOKUP(B51,'[9]IRR MES'!$C$5:$AK$600,9),"")</f>
        <v>#REF!</v>
      </c>
      <c r="BC51" s="247" t="e">
        <f>IF(B51&lt;&gt;"",VLOOKUP(B51,'[9]IRR MES'!$C$5:$AK$600,12),"")</f>
        <v>#REF!</v>
      </c>
      <c r="BD51" s="181" t="e">
        <f>IF(B51&lt;&gt;"",VLOOKUP(B51,'[9]IRR MES'!$C$5:$AK$600,14),"")</f>
        <v>#REF!</v>
      </c>
      <c r="BE51" s="247" t="e">
        <f>IF(B51&lt;&gt;"",VLOOKUP(B51,'[9]IRR MES'!$C$5:$AK$600,15),"")</f>
        <v>#REF!</v>
      </c>
      <c r="BF51" s="181" t="e">
        <f>IF(B51&lt;&gt;"",VLOOKUP(B51,'[9]IRR MES'!$C$5:$AK$600,17),"")</f>
        <v>#REF!</v>
      </c>
      <c r="BG51" s="247" t="e">
        <f>IF(B51&lt;&gt;"",VLOOKUP(B51,'[9]IRR MES'!$C$5:$AK$600,18),"")</f>
        <v>#REF!</v>
      </c>
      <c r="BH51" s="181" t="e">
        <f>IF(B51&lt;&gt;"",VLOOKUP(B51,'[9]IRR MES'!$C$5:$AK$600,20),"")</f>
        <v>#REF!</v>
      </c>
      <c r="BI51" s="247" t="e">
        <f>IF(B51&lt;&gt;"",VLOOKUP(B51,'[9]IRR MES'!$C$5:$AK$600,21),"")</f>
        <v>#REF!</v>
      </c>
      <c r="BJ51" s="181" t="e">
        <f>IF(B51&lt;&gt;"",VLOOKUP(B51,'[9]IRR MES'!$C$5:$AK$600,23),"")</f>
        <v>#REF!</v>
      </c>
      <c r="BK51" s="247" t="e">
        <f>IF(B51&lt;&gt;"",VLOOKUP(B51,'[9]IRR MES'!$C$5:$AK$600,24),"")</f>
        <v>#REF!</v>
      </c>
      <c r="BL51" s="181" t="e">
        <f>IF(B51&lt;&gt;"",VLOOKUP(B51,'[9]IRR MES'!$C$5:$AK$600,26),"")</f>
        <v>#REF!</v>
      </c>
      <c r="BM51" s="247" t="e">
        <f>IF(B51&lt;&gt;"",VLOOKUP(B51,'[9]IRR MES'!$C$5:$AK$600,27),"")</f>
        <v>#REF!</v>
      </c>
      <c r="BN51" s="181" t="e">
        <f>IF(B51&lt;&gt;"",VLOOKUP(B51,'[9]IRR MES'!$C$5:$AK$600,29),"")</f>
        <v>#REF!</v>
      </c>
      <c r="BO51" s="247" t="e">
        <f>IF(B51&lt;&gt;"",VLOOKUP(B51,'[9]IRR MES'!$C$5:$AK$600,30),"")</f>
        <v>#REF!</v>
      </c>
      <c r="BP51" s="181" t="e">
        <f>IF(B51&lt;&gt;"",VLOOKUP(B51,'[9]IRR MES'!$C$5:$AK$600,32),"")</f>
        <v>#REF!</v>
      </c>
      <c r="BQ51" s="181" t="e">
        <f>IF(B51&lt;&gt;"",VLOOKUP(B51,'[9]IRR MES'!$C$5:$AK$600,33),"")</f>
        <v>#REF!</v>
      </c>
      <c r="BR51" s="181" t="e">
        <f t="shared" si="54"/>
        <v>#REF!</v>
      </c>
      <c r="BS51" s="181" t="e">
        <f>IF(B51&lt;&gt;"",VLOOKUP(B51,'[9]IRR MES'!$C$5:$AK$600,34),"")</f>
        <v>#REF!</v>
      </c>
      <c r="BT51" s="248" t="e">
        <f>IF(B51&lt;&gt;"",VLOOKUP(B51,'[9]IRR MES'!$C$1:$AK$600,4),"")</f>
        <v>#REF!</v>
      </c>
      <c r="BU51" s="248" t="e">
        <f>IF(B51&lt;&gt;"",VLOOKUP(B51,'[9]IRR MES'!$C$1:$AK$600,7),"")</f>
        <v>#REF!</v>
      </c>
      <c r="BV51" s="248" t="e">
        <f>IF(B51&lt;&gt;"",VLOOKUP(B51,'[9]IRR MES'!$C$1:$AK$600,10),"")</f>
        <v>#REF!</v>
      </c>
      <c r="BW51" s="248" t="e">
        <f>IF(B51&lt;&gt;"",VLOOKUP(B51,'[9]IRR MES'!$C$1:$AK$600,13),"")</f>
        <v>#REF!</v>
      </c>
      <c r="BX51" s="248" t="e">
        <f>IF(B51&lt;&gt;"",VLOOKUP(B51,'[9]IRR MES'!$C$1:$AK$600,16),"")</f>
        <v>#REF!</v>
      </c>
      <c r="BY51" s="248" t="e">
        <f>IF(B51&lt;&gt;"",VLOOKUP(B51,'[9]IRR MES'!$C$1:$AK$600,19),"")</f>
        <v>#REF!</v>
      </c>
      <c r="BZ51" s="248" t="e">
        <f>IF(B51&lt;&gt;"",VLOOKUP(B51,'[9]IRR MES'!$C$1:$AK$600,22),"")</f>
        <v>#REF!</v>
      </c>
      <c r="CA51" s="248" t="e">
        <f>IF(B51&lt;&gt;"",VLOOKUP(B51,'[9]IRR MES'!$C$1:$AK$600,25),"")</f>
        <v>#REF!</v>
      </c>
      <c r="CB51" s="248" t="e">
        <f>IF(B51&lt;&gt;"",VLOOKUP(B51,'[9]IRR MES'!$C$1:$AK$600,28),"")</f>
        <v>#REF!</v>
      </c>
      <c r="CC51" s="248" t="e">
        <f>IF(B51&lt;&gt;"",VLOOKUP(B51,'[9]IRR MES'!$C$1:$AK$600,31),"")</f>
        <v>#REF!</v>
      </c>
      <c r="CD51" s="249" t="e">
        <f>#REF!</f>
        <v>#REF!</v>
      </c>
    </row>
    <row r="52" spans="1:82" x14ac:dyDescent="0.2">
      <c r="A52" s="10" t="e">
        <f t="shared" si="29"/>
        <v>#REF!</v>
      </c>
      <c r="B52" s="50" t="e">
        <f>#REF!</f>
        <v>#REF!</v>
      </c>
      <c r="C52" s="38">
        <f>'LEVANTAMENTO DADOS'!B50</f>
        <v>5004.1099999999997</v>
      </c>
      <c r="D52" s="63" t="e">
        <f>'BASE DE CALCULO IR'!W52</f>
        <v>#REF!</v>
      </c>
      <c r="E52" s="63"/>
      <c r="F52" s="60"/>
      <c r="G52" s="63"/>
      <c r="H52" s="63"/>
      <c r="I52" s="63"/>
      <c r="J52" s="63"/>
      <c r="K52" s="61"/>
      <c r="L52" s="61"/>
      <c r="M52" s="61"/>
      <c r="N52" s="60"/>
      <c r="O52" s="60"/>
      <c r="P52" s="60"/>
      <c r="Q52" s="62"/>
      <c r="R52" s="62" t="e">
        <f t="shared" si="30"/>
        <v>#REF!</v>
      </c>
      <c r="S52" s="63" t="e">
        <f t="shared" si="31"/>
        <v>#REF!</v>
      </c>
      <c r="T52" s="250"/>
      <c r="U52" s="63" t="e">
        <f t="shared" si="32"/>
        <v>#REF!</v>
      </c>
      <c r="V52" s="63" t="e">
        <f>#REF!</f>
        <v>#REF!</v>
      </c>
      <c r="W52" s="63" t="e">
        <f t="shared" si="33"/>
        <v>#REF!</v>
      </c>
      <c r="X52" s="242" t="e">
        <f t="shared" si="34"/>
        <v>#REF!</v>
      </c>
      <c r="Y52" s="34" t="e">
        <f t="shared" si="28"/>
        <v>#REF!</v>
      </c>
      <c r="Z52" s="34" t="e">
        <f t="shared" si="35"/>
        <v>#REF!</v>
      </c>
      <c r="AA52" s="176" t="e">
        <f t="shared" si="36"/>
        <v>#REF!</v>
      </c>
      <c r="AB52" s="11" t="e">
        <f t="shared" si="37"/>
        <v>#REF!</v>
      </c>
      <c r="AC52" s="245" t="e">
        <f t="shared" si="38"/>
        <v>#REF!</v>
      </c>
      <c r="AD52" s="245" t="e">
        <f t="shared" si="39"/>
        <v>#REF!</v>
      </c>
      <c r="AE52" s="245"/>
      <c r="AF52" s="245" t="e">
        <f t="shared" si="40"/>
        <v>#REF!</v>
      </c>
      <c r="AG52" s="173" t="e">
        <f t="shared" si="41"/>
        <v>#REF!</v>
      </c>
      <c r="AH52" s="51" t="e">
        <f t="shared" si="42"/>
        <v>#REF!</v>
      </c>
      <c r="AI52" s="63" t="e">
        <f>IF(B52&lt;&gt;"",VLOOKUP(B52,'[9]IRR MES'!$C$15:$AK$600,32),"")</f>
        <v>#REF!</v>
      </c>
      <c r="AJ52" s="246" t="e">
        <f t="shared" si="43"/>
        <v>#REF!</v>
      </c>
      <c r="AK52" s="181" t="e">
        <f t="shared" si="44"/>
        <v>#REF!</v>
      </c>
      <c r="AL52" s="181" t="e">
        <f t="shared" si="45"/>
        <v>#REF!</v>
      </c>
      <c r="AM52" s="181" t="e">
        <f t="shared" si="46"/>
        <v>#REF!</v>
      </c>
      <c r="AN52" s="181" t="e">
        <f t="shared" si="47"/>
        <v>#REF!</v>
      </c>
      <c r="AO52" s="181" t="e">
        <f t="shared" si="48"/>
        <v>#REF!</v>
      </c>
      <c r="AP52" s="181" t="e">
        <f t="shared" si="49"/>
        <v>#REF!</v>
      </c>
      <c r="AQ52" s="181" t="e">
        <f t="shared" si="50"/>
        <v>#REF!</v>
      </c>
      <c r="AR52" s="181" t="e">
        <f t="shared" si="51"/>
        <v>#REF!</v>
      </c>
      <c r="AS52" s="181" t="e">
        <f t="shared" si="52"/>
        <v>#REF!</v>
      </c>
      <c r="AT52" s="181" t="e">
        <f t="shared" si="53"/>
        <v>#REF!</v>
      </c>
      <c r="AU52" s="181"/>
      <c r="AV52" s="63"/>
      <c r="AW52" s="181" t="e">
        <f>IF(B52&lt;&gt;"",VLOOKUP(B52,'[9]IRR MES'!$C$5:$AK$600,2),"")</f>
        <v>#REF!</v>
      </c>
      <c r="AX52" s="247" t="e">
        <f>IF(B52&lt;&gt;"",VLOOKUP(B52,'[9]IRR MES'!$C$5:$AK$600,3),"")</f>
        <v>#REF!</v>
      </c>
      <c r="AY52" s="181" t="e">
        <f>IF(B52&lt;&gt;"",VLOOKUP(B52,'[9]IRR MES'!$C$5:$AK$600,5),"")</f>
        <v>#REF!</v>
      </c>
      <c r="AZ52" s="247" t="e">
        <f>IF(B52&lt;&gt;"",VLOOKUP(B52,'[9]IRR MES'!$C$5:$AK$600,6),"")</f>
        <v>#REF!</v>
      </c>
      <c r="BA52" s="181" t="e">
        <f>IF(B52&lt;&gt;"",VLOOKUP(B52,'[9]IRR MES'!$C$5:$AK$600,8),"")</f>
        <v>#REF!</v>
      </c>
      <c r="BB52" s="247" t="e">
        <f>IF(B52&lt;&gt;"",VLOOKUP(B52,'[9]IRR MES'!$C$5:$AK$600,9),"")</f>
        <v>#REF!</v>
      </c>
      <c r="BC52" s="247" t="e">
        <f>IF(B52&lt;&gt;"",VLOOKUP(B52,'[9]IRR MES'!$C$5:$AK$600,12),"")</f>
        <v>#REF!</v>
      </c>
      <c r="BD52" s="181" t="e">
        <f>IF(B52&lt;&gt;"",VLOOKUP(B52,'[9]IRR MES'!$C$5:$AK$600,14),"")</f>
        <v>#REF!</v>
      </c>
      <c r="BE52" s="247" t="e">
        <f>IF(B52&lt;&gt;"",VLOOKUP(B52,'[9]IRR MES'!$C$5:$AK$600,15),"")</f>
        <v>#REF!</v>
      </c>
      <c r="BF52" s="181" t="e">
        <f>IF(B52&lt;&gt;"",VLOOKUP(B52,'[9]IRR MES'!$C$5:$AK$600,17),"")</f>
        <v>#REF!</v>
      </c>
      <c r="BG52" s="247" t="e">
        <f>IF(B52&lt;&gt;"",VLOOKUP(B52,'[9]IRR MES'!$C$5:$AK$600,18),"")</f>
        <v>#REF!</v>
      </c>
      <c r="BH52" s="181" t="e">
        <f>IF(B52&lt;&gt;"",VLOOKUP(B52,'[9]IRR MES'!$C$5:$AK$600,20),"")</f>
        <v>#REF!</v>
      </c>
      <c r="BI52" s="247" t="e">
        <f>IF(B52&lt;&gt;"",VLOOKUP(B52,'[9]IRR MES'!$C$5:$AK$600,21),"")</f>
        <v>#REF!</v>
      </c>
      <c r="BJ52" s="181" t="e">
        <f>IF(B52&lt;&gt;"",VLOOKUP(B52,'[9]IRR MES'!$C$5:$AK$600,23),"")</f>
        <v>#REF!</v>
      </c>
      <c r="BK52" s="247" t="e">
        <f>IF(B52&lt;&gt;"",VLOOKUP(B52,'[9]IRR MES'!$C$5:$AK$600,24),"")</f>
        <v>#REF!</v>
      </c>
      <c r="BL52" s="181" t="e">
        <f>IF(B52&lt;&gt;"",VLOOKUP(B52,'[9]IRR MES'!$C$5:$AK$600,26),"")</f>
        <v>#REF!</v>
      </c>
      <c r="BM52" s="247" t="e">
        <f>IF(B52&lt;&gt;"",VLOOKUP(B52,'[9]IRR MES'!$C$5:$AK$600,27),"")</f>
        <v>#REF!</v>
      </c>
      <c r="BN52" s="181" t="e">
        <f>IF(B52&lt;&gt;"",VLOOKUP(B52,'[9]IRR MES'!$C$5:$AK$600,29),"")</f>
        <v>#REF!</v>
      </c>
      <c r="BO52" s="247" t="e">
        <f>IF(B52&lt;&gt;"",VLOOKUP(B52,'[9]IRR MES'!$C$5:$AK$600,30),"")</f>
        <v>#REF!</v>
      </c>
      <c r="BP52" s="181" t="e">
        <f>IF(B52&lt;&gt;"",VLOOKUP(B52,'[9]IRR MES'!$C$5:$AK$600,32),"")</f>
        <v>#REF!</v>
      </c>
      <c r="BQ52" s="181" t="e">
        <f>IF(B52&lt;&gt;"",VLOOKUP(B52,'[9]IRR MES'!$C$5:$AK$600,33),"")</f>
        <v>#REF!</v>
      </c>
      <c r="BR52" s="181" t="e">
        <f t="shared" si="54"/>
        <v>#REF!</v>
      </c>
      <c r="BS52" s="181" t="e">
        <f>IF(B52&lt;&gt;"",VLOOKUP(B52,'[9]IRR MES'!$C$5:$AK$600,34),"")</f>
        <v>#REF!</v>
      </c>
      <c r="BT52" s="248" t="e">
        <f>IF(B52&lt;&gt;"",VLOOKUP(B52,'[9]IRR MES'!$C$1:$AK$600,4),"")</f>
        <v>#REF!</v>
      </c>
      <c r="BU52" s="248" t="e">
        <f>IF(B52&lt;&gt;"",VLOOKUP(B52,'[9]IRR MES'!$C$1:$AK$600,7),"")</f>
        <v>#REF!</v>
      </c>
      <c r="BV52" s="248" t="e">
        <f>IF(B52&lt;&gt;"",VLOOKUP(B52,'[9]IRR MES'!$C$1:$AK$600,10),"")</f>
        <v>#REF!</v>
      </c>
      <c r="BW52" s="248" t="e">
        <f>IF(B52&lt;&gt;"",VLOOKUP(B52,'[9]IRR MES'!$C$1:$AK$600,13),"")</f>
        <v>#REF!</v>
      </c>
      <c r="BX52" s="248" t="e">
        <f>IF(B52&lt;&gt;"",VLOOKUP(B52,'[9]IRR MES'!$C$1:$AK$600,16),"")</f>
        <v>#REF!</v>
      </c>
      <c r="BY52" s="248" t="e">
        <f>IF(B52&lt;&gt;"",VLOOKUP(B52,'[9]IRR MES'!$C$1:$AK$600,19),"")</f>
        <v>#REF!</v>
      </c>
      <c r="BZ52" s="248" t="e">
        <f>IF(B52&lt;&gt;"",VLOOKUP(B52,'[9]IRR MES'!$C$1:$AK$600,22),"")</f>
        <v>#REF!</v>
      </c>
      <c r="CA52" s="248" t="e">
        <f>IF(B52&lt;&gt;"",VLOOKUP(B52,'[9]IRR MES'!$C$1:$AK$600,25),"")</f>
        <v>#REF!</v>
      </c>
      <c r="CB52" s="248" t="e">
        <f>IF(B52&lt;&gt;"",VLOOKUP(B52,'[9]IRR MES'!$C$1:$AK$600,28),"")</f>
        <v>#REF!</v>
      </c>
      <c r="CC52" s="248" t="e">
        <f>IF(B52&lt;&gt;"",VLOOKUP(B52,'[9]IRR MES'!$C$1:$AK$600,31),"")</f>
        <v>#REF!</v>
      </c>
      <c r="CD52" s="249" t="e">
        <f>#REF!</f>
        <v>#REF!</v>
      </c>
    </row>
    <row r="53" spans="1:82" x14ac:dyDescent="0.2">
      <c r="A53" s="10" t="e">
        <f t="shared" si="29"/>
        <v>#REF!</v>
      </c>
      <c r="B53" s="50" t="e">
        <f>#REF!</f>
        <v>#REF!</v>
      </c>
      <c r="C53" s="38">
        <f>'LEVANTAMENTO DADOS'!B51</f>
        <v>3711.55</v>
      </c>
      <c r="D53" s="63" t="e">
        <f>'BASE DE CALCULO IR'!W53</f>
        <v>#REF!</v>
      </c>
      <c r="E53" s="63"/>
      <c r="F53" s="60"/>
      <c r="G53" s="63"/>
      <c r="H53" s="63"/>
      <c r="I53" s="63"/>
      <c r="J53" s="63"/>
      <c r="K53" s="61"/>
      <c r="L53" s="61"/>
      <c r="M53" s="61"/>
      <c r="N53" s="60"/>
      <c r="O53" s="60"/>
      <c r="P53" s="60"/>
      <c r="Q53" s="62"/>
      <c r="R53" s="62" t="e">
        <f t="shared" si="30"/>
        <v>#REF!</v>
      </c>
      <c r="S53" s="63" t="e">
        <f t="shared" si="31"/>
        <v>#REF!</v>
      </c>
      <c r="T53" s="250"/>
      <c r="U53" s="63" t="e">
        <f t="shared" si="32"/>
        <v>#REF!</v>
      </c>
      <c r="V53" s="63" t="e">
        <f>#REF!</f>
        <v>#REF!</v>
      </c>
      <c r="W53" s="63" t="e">
        <f t="shared" si="33"/>
        <v>#REF!</v>
      </c>
      <c r="X53" s="242" t="e">
        <f t="shared" si="34"/>
        <v>#REF!</v>
      </c>
      <c r="Y53" s="34" t="e">
        <f t="shared" si="28"/>
        <v>#REF!</v>
      </c>
      <c r="Z53" s="34" t="e">
        <f t="shared" si="35"/>
        <v>#REF!</v>
      </c>
      <c r="AA53" s="176" t="e">
        <f t="shared" si="36"/>
        <v>#REF!</v>
      </c>
      <c r="AB53" s="11" t="e">
        <f t="shared" si="37"/>
        <v>#REF!</v>
      </c>
      <c r="AC53" s="245" t="e">
        <f t="shared" si="38"/>
        <v>#REF!</v>
      </c>
      <c r="AD53" s="245" t="e">
        <f t="shared" si="39"/>
        <v>#REF!</v>
      </c>
      <c r="AE53" s="245"/>
      <c r="AF53" s="245" t="e">
        <f t="shared" si="40"/>
        <v>#REF!</v>
      </c>
      <c r="AG53" s="173" t="e">
        <f t="shared" si="41"/>
        <v>#REF!</v>
      </c>
      <c r="AH53" s="51" t="e">
        <f t="shared" si="42"/>
        <v>#REF!</v>
      </c>
      <c r="AI53" s="63" t="e">
        <f>IF(B53&lt;&gt;"",VLOOKUP(B53,'[9]IRR MES'!$C$15:$AK$600,32),"")</f>
        <v>#REF!</v>
      </c>
      <c r="AJ53" s="246" t="e">
        <f t="shared" si="43"/>
        <v>#REF!</v>
      </c>
      <c r="AK53" s="181" t="e">
        <f t="shared" si="44"/>
        <v>#REF!</v>
      </c>
      <c r="AL53" s="181" t="e">
        <f t="shared" si="45"/>
        <v>#REF!</v>
      </c>
      <c r="AM53" s="181" t="e">
        <f t="shared" si="46"/>
        <v>#REF!</v>
      </c>
      <c r="AN53" s="181" t="e">
        <f t="shared" si="47"/>
        <v>#REF!</v>
      </c>
      <c r="AO53" s="181" t="e">
        <f t="shared" si="48"/>
        <v>#REF!</v>
      </c>
      <c r="AP53" s="181" t="e">
        <f t="shared" si="49"/>
        <v>#REF!</v>
      </c>
      <c r="AQ53" s="181" t="e">
        <f t="shared" si="50"/>
        <v>#REF!</v>
      </c>
      <c r="AR53" s="181" t="e">
        <f t="shared" si="51"/>
        <v>#REF!</v>
      </c>
      <c r="AS53" s="181" t="e">
        <f t="shared" si="52"/>
        <v>#REF!</v>
      </c>
      <c r="AT53" s="181" t="e">
        <f t="shared" si="53"/>
        <v>#REF!</v>
      </c>
      <c r="AU53" s="181"/>
      <c r="AV53" s="63"/>
      <c r="AW53" s="181" t="e">
        <f>IF(B53&lt;&gt;"",VLOOKUP(B53,'[9]IRR MES'!$C$5:$AK$600,2),"")</f>
        <v>#REF!</v>
      </c>
      <c r="AX53" s="247" t="e">
        <f>IF(B53&lt;&gt;"",VLOOKUP(B53,'[9]IRR MES'!$C$5:$AK$600,3),"")</f>
        <v>#REF!</v>
      </c>
      <c r="AY53" s="181" t="e">
        <f>IF(B53&lt;&gt;"",VLOOKUP(B53,'[9]IRR MES'!$C$5:$AK$600,5),"")</f>
        <v>#REF!</v>
      </c>
      <c r="AZ53" s="247" t="e">
        <f>IF(B53&lt;&gt;"",VLOOKUP(B53,'[9]IRR MES'!$C$5:$AK$600,6),"")</f>
        <v>#REF!</v>
      </c>
      <c r="BA53" s="181" t="e">
        <f>IF(B53&lt;&gt;"",VLOOKUP(B53,'[9]IRR MES'!$C$5:$AK$600,8),"")</f>
        <v>#REF!</v>
      </c>
      <c r="BB53" s="247" t="e">
        <f>IF(B53&lt;&gt;"",VLOOKUP(B53,'[9]IRR MES'!$C$5:$AK$600,9),"")</f>
        <v>#REF!</v>
      </c>
      <c r="BC53" s="247" t="e">
        <f>IF(B53&lt;&gt;"",VLOOKUP(B53,'[9]IRR MES'!$C$5:$AK$600,12),"")</f>
        <v>#REF!</v>
      </c>
      <c r="BD53" s="181" t="e">
        <f>IF(B53&lt;&gt;"",VLOOKUP(B53,'[9]IRR MES'!$C$5:$AK$600,14),"")</f>
        <v>#REF!</v>
      </c>
      <c r="BE53" s="247" t="e">
        <f>IF(B53&lt;&gt;"",VLOOKUP(B53,'[9]IRR MES'!$C$5:$AK$600,15),"")</f>
        <v>#REF!</v>
      </c>
      <c r="BF53" s="181" t="e">
        <f>IF(B53&lt;&gt;"",VLOOKUP(B53,'[9]IRR MES'!$C$5:$AK$600,17),"")</f>
        <v>#REF!</v>
      </c>
      <c r="BG53" s="247" t="e">
        <f>IF(B53&lt;&gt;"",VLOOKUP(B53,'[9]IRR MES'!$C$5:$AK$600,18),"")</f>
        <v>#REF!</v>
      </c>
      <c r="BH53" s="181" t="e">
        <f>IF(B53&lt;&gt;"",VLOOKUP(B53,'[9]IRR MES'!$C$5:$AK$600,20),"")</f>
        <v>#REF!</v>
      </c>
      <c r="BI53" s="247" t="e">
        <f>IF(B53&lt;&gt;"",VLOOKUP(B53,'[9]IRR MES'!$C$5:$AK$600,21),"")</f>
        <v>#REF!</v>
      </c>
      <c r="BJ53" s="181" t="e">
        <f>IF(B53&lt;&gt;"",VLOOKUP(B53,'[9]IRR MES'!$C$5:$AK$600,23),"")</f>
        <v>#REF!</v>
      </c>
      <c r="BK53" s="247" t="e">
        <f>IF(B53&lt;&gt;"",VLOOKUP(B53,'[9]IRR MES'!$C$5:$AK$600,24),"")</f>
        <v>#REF!</v>
      </c>
      <c r="BL53" s="181" t="e">
        <f>IF(B53&lt;&gt;"",VLOOKUP(B53,'[9]IRR MES'!$C$5:$AK$600,26),"")</f>
        <v>#REF!</v>
      </c>
      <c r="BM53" s="247" t="e">
        <f>IF(B53&lt;&gt;"",VLOOKUP(B53,'[9]IRR MES'!$C$5:$AK$600,27),"")</f>
        <v>#REF!</v>
      </c>
      <c r="BN53" s="181" t="e">
        <f>IF(B53&lt;&gt;"",VLOOKUP(B53,'[9]IRR MES'!$C$5:$AK$600,29),"")</f>
        <v>#REF!</v>
      </c>
      <c r="BO53" s="247" t="e">
        <f>IF(B53&lt;&gt;"",VLOOKUP(B53,'[9]IRR MES'!$C$5:$AK$600,30),"")</f>
        <v>#REF!</v>
      </c>
      <c r="BP53" s="181" t="e">
        <f>IF(B53&lt;&gt;"",VLOOKUP(B53,'[9]IRR MES'!$C$5:$AK$600,32),"")</f>
        <v>#REF!</v>
      </c>
      <c r="BQ53" s="181" t="e">
        <f>IF(B53&lt;&gt;"",VLOOKUP(B53,'[9]IRR MES'!$C$5:$AK$600,33),"")</f>
        <v>#REF!</v>
      </c>
      <c r="BR53" s="181" t="e">
        <f t="shared" si="54"/>
        <v>#REF!</v>
      </c>
      <c r="BS53" s="181" t="e">
        <f>IF(B53&lt;&gt;"",VLOOKUP(B53,'[9]IRR MES'!$C$5:$AK$600,34),"")</f>
        <v>#REF!</v>
      </c>
      <c r="BT53" s="248" t="e">
        <f>IF(B53&lt;&gt;"",VLOOKUP(B53,'[9]IRR MES'!$C$1:$AK$600,4),"")</f>
        <v>#REF!</v>
      </c>
      <c r="BU53" s="248" t="e">
        <f>IF(B53&lt;&gt;"",VLOOKUP(B53,'[9]IRR MES'!$C$1:$AK$600,7),"")</f>
        <v>#REF!</v>
      </c>
      <c r="BV53" s="248" t="e">
        <f>IF(B53&lt;&gt;"",VLOOKUP(B53,'[9]IRR MES'!$C$1:$AK$600,10),"")</f>
        <v>#REF!</v>
      </c>
      <c r="BW53" s="248" t="e">
        <f>IF(B53&lt;&gt;"",VLOOKUP(B53,'[9]IRR MES'!$C$1:$AK$600,13),"")</f>
        <v>#REF!</v>
      </c>
      <c r="BX53" s="248" t="e">
        <f>IF(B53&lt;&gt;"",VLOOKUP(B53,'[9]IRR MES'!$C$1:$AK$600,16),"")</f>
        <v>#REF!</v>
      </c>
      <c r="BY53" s="248" t="e">
        <f>IF(B53&lt;&gt;"",VLOOKUP(B53,'[9]IRR MES'!$C$1:$AK$600,19),"")</f>
        <v>#REF!</v>
      </c>
      <c r="BZ53" s="248" t="e">
        <f>IF(B53&lt;&gt;"",VLOOKUP(B53,'[9]IRR MES'!$C$1:$AK$600,22),"")</f>
        <v>#REF!</v>
      </c>
      <c r="CA53" s="248" t="e">
        <f>IF(B53&lt;&gt;"",VLOOKUP(B53,'[9]IRR MES'!$C$1:$AK$600,25),"")</f>
        <v>#REF!</v>
      </c>
      <c r="CB53" s="248" t="e">
        <f>IF(B53&lt;&gt;"",VLOOKUP(B53,'[9]IRR MES'!$C$1:$AK$600,28),"")</f>
        <v>#REF!</v>
      </c>
      <c r="CC53" s="248" t="e">
        <f>IF(B53&lt;&gt;"",VLOOKUP(B53,'[9]IRR MES'!$C$1:$AK$600,31),"")</f>
        <v>#REF!</v>
      </c>
      <c r="CD53" s="249" t="e">
        <f>#REF!</f>
        <v>#REF!</v>
      </c>
    </row>
    <row r="54" spans="1:82" x14ac:dyDescent="0.2">
      <c r="A54" s="10" t="e">
        <f t="shared" si="29"/>
        <v>#REF!</v>
      </c>
      <c r="B54" s="50" t="e">
        <f>#REF!</f>
        <v>#REF!</v>
      </c>
      <c r="C54" s="38">
        <f>'LEVANTAMENTO DADOS'!B52</f>
        <v>4500.6499999999996</v>
      </c>
      <c r="D54" s="63" t="e">
        <f>'BASE DE CALCULO IR'!W54</f>
        <v>#REF!</v>
      </c>
      <c r="E54" s="63"/>
      <c r="F54" s="60"/>
      <c r="G54" s="63"/>
      <c r="H54" s="63"/>
      <c r="I54" s="63"/>
      <c r="J54" s="63"/>
      <c r="K54" s="61"/>
      <c r="L54" s="61"/>
      <c r="M54" s="61"/>
      <c r="N54" s="60"/>
      <c r="O54" s="60"/>
      <c r="P54" s="60"/>
      <c r="Q54" s="62"/>
      <c r="R54" s="62" t="e">
        <f t="shared" si="30"/>
        <v>#REF!</v>
      </c>
      <c r="S54" s="63" t="e">
        <f t="shared" si="31"/>
        <v>#REF!</v>
      </c>
      <c r="T54" s="250"/>
      <c r="U54" s="63" t="e">
        <f t="shared" si="32"/>
        <v>#REF!</v>
      </c>
      <c r="V54" s="63" t="e">
        <f>#REF!</f>
        <v>#REF!</v>
      </c>
      <c r="W54" s="63" t="e">
        <f t="shared" si="33"/>
        <v>#REF!</v>
      </c>
      <c r="X54" s="242" t="e">
        <f t="shared" si="34"/>
        <v>#REF!</v>
      </c>
      <c r="Y54" s="34" t="e">
        <f t="shared" si="28"/>
        <v>#REF!</v>
      </c>
      <c r="Z54" s="34" t="e">
        <f t="shared" si="35"/>
        <v>#REF!</v>
      </c>
      <c r="AA54" s="176" t="e">
        <f t="shared" si="36"/>
        <v>#REF!</v>
      </c>
      <c r="AB54" s="11" t="e">
        <f t="shared" si="37"/>
        <v>#REF!</v>
      </c>
      <c r="AC54" s="245" t="e">
        <f t="shared" si="38"/>
        <v>#REF!</v>
      </c>
      <c r="AD54" s="245" t="e">
        <f t="shared" si="39"/>
        <v>#REF!</v>
      </c>
      <c r="AE54" s="245"/>
      <c r="AF54" s="245" t="e">
        <f t="shared" si="40"/>
        <v>#REF!</v>
      </c>
      <c r="AG54" s="173" t="e">
        <f t="shared" si="41"/>
        <v>#REF!</v>
      </c>
      <c r="AH54" s="51" t="e">
        <f t="shared" si="42"/>
        <v>#REF!</v>
      </c>
      <c r="AI54" s="63" t="e">
        <f>IF(B54&lt;&gt;"",VLOOKUP(B54,'[9]IRR MES'!$C$15:$AK$600,32),"")</f>
        <v>#REF!</v>
      </c>
      <c r="AJ54" s="246" t="e">
        <f t="shared" si="43"/>
        <v>#REF!</v>
      </c>
      <c r="AK54" s="181" t="e">
        <f t="shared" si="44"/>
        <v>#REF!</v>
      </c>
      <c r="AL54" s="181" t="e">
        <f t="shared" si="45"/>
        <v>#REF!</v>
      </c>
      <c r="AM54" s="181" t="e">
        <f t="shared" si="46"/>
        <v>#REF!</v>
      </c>
      <c r="AN54" s="181" t="e">
        <f t="shared" si="47"/>
        <v>#REF!</v>
      </c>
      <c r="AO54" s="181" t="e">
        <f t="shared" si="48"/>
        <v>#REF!</v>
      </c>
      <c r="AP54" s="181" t="e">
        <f t="shared" si="49"/>
        <v>#REF!</v>
      </c>
      <c r="AQ54" s="181" t="e">
        <f t="shared" si="50"/>
        <v>#REF!</v>
      </c>
      <c r="AR54" s="181" t="e">
        <f t="shared" si="51"/>
        <v>#REF!</v>
      </c>
      <c r="AS54" s="181" t="e">
        <f t="shared" si="52"/>
        <v>#REF!</v>
      </c>
      <c r="AT54" s="181" t="e">
        <f t="shared" si="53"/>
        <v>#REF!</v>
      </c>
      <c r="AU54" s="181"/>
      <c r="AV54" s="63"/>
      <c r="AW54" s="181" t="e">
        <f>IF(B54&lt;&gt;"",VLOOKUP(B54,'[9]IRR MES'!$C$5:$AK$600,2),"")</f>
        <v>#REF!</v>
      </c>
      <c r="AX54" s="247" t="e">
        <f>IF(B54&lt;&gt;"",VLOOKUP(B54,'[9]IRR MES'!$C$5:$AK$600,3),"")</f>
        <v>#REF!</v>
      </c>
      <c r="AY54" s="181" t="e">
        <f>IF(B54&lt;&gt;"",VLOOKUP(B54,'[9]IRR MES'!$C$5:$AK$600,5),"")</f>
        <v>#REF!</v>
      </c>
      <c r="AZ54" s="247" t="e">
        <f>IF(B54&lt;&gt;"",VLOOKUP(B54,'[9]IRR MES'!$C$5:$AK$600,6),"")</f>
        <v>#REF!</v>
      </c>
      <c r="BA54" s="181" t="e">
        <f>IF(B54&lt;&gt;"",VLOOKUP(B54,'[9]IRR MES'!$C$5:$AK$600,8),"")</f>
        <v>#REF!</v>
      </c>
      <c r="BB54" s="247" t="e">
        <f>IF(B54&lt;&gt;"",VLOOKUP(B54,'[9]IRR MES'!$C$5:$AK$600,9),"")</f>
        <v>#REF!</v>
      </c>
      <c r="BC54" s="247" t="e">
        <f>IF(B54&lt;&gt;"",VLOOKUP(B54,'[9]IRR MES'!$C$5:$AK$600,12),"")</f>
        <v>#REF!</v>
      </c>
      <c r="BD54" s="181" t="e">
        <f>IF(B54&lt;&gt;"",VLOOKUP(B54,'[9]IRR MES'!$C$5:$AK$600,14),"")</f>
        <v>#REF!</v>
      </c>
      <c r="BE54" s="247" t="e">
        <f>IF(B54&lt;&gt;"",VLOOKUP(B54,'[9]IRR MES'!$C$5:$AK$600,15),"")</f>
        <v>#REF!</v>
      </c>
      <c r="BF54" s="181" t="e">
        <f>IF(B54&lt;&gt;"",VLOOKUP(B54,'[9]IRR MES'!$C$5:$AK$600,17),"")</f>
        <v>#REF!</v>
      </c>
      <c r="BG54" s="247" t="e">
        <f>IF(B54&lt;&gt;"",VLOOKUP(B54,'[9]IRR MES'!$C$5:$AK$600,18),"")</f>
        <v>#REF!</v>
      </c>
      <c r="BH54" s="181" t="e">
        <f>IF(B54&lt;&gt;"",VLOOKUP(B54,'[9]IRR MES'!$C$5:$AK$600,20),"")</f>
        <v>#REF!</v>
      </c>
      <c r="BI54" s="247" t="e">
        <f>IF(B54&lt;&gt;"",VLOOKUP(B54,'[9]IRR MES'!$C$5:$AK$600,21),"")</f>
        <v>#REF!</v>
      </c>
      <c r="BJ54" s="181" t="e">
        <f>IF(B54&lt;&gt;"",VLOOKUP(B54,'[9]IRR MES'!$C$5:$AK$600,23),"")</f>
        <v>#REF!</v>
      </c>
      <c r="BK54" s="247" t="e">
        <f>IF(B54&lt;&gt;"",VLOOKUP(B54,'[9]IRR MES'!$C$5:$AK$600,24),"")</f>
        <v>#REF!</v>
      </c>
      <c r="BL54" s="181" t="e">
        <f>IF(B54&lt;&gt;"",VLOOKUP(B54,'[9]IRR MES'!$C$5:$AK$600,26),"")</f>
        <v>#REF!</v>
      </c>
      <c r="BM54" s="247" t="e">
        <f>IF(B54&lt;&gt;"",VLOOKUP(B54,'[9]IRR MES'!$C$5:$AK$600,27),"")</f>
        <v>#REF!</v>
      </c>
      <c r="BN54" s="181" t="e">
        <f>IF(B54&lt;&gt;"",VLOOKUP(B54,'[9]IRR MES'!$C$5:$AK$600,29),"")</f>
        <v>#REF!</v>
      </c>
      <c r="BO54" s="247" t="e">
        <f>IF(B54&lt;&gt;"",VLOOKUP(B54,'[9]IRR MES'!$C$5:$AK$600,30),"")</f>
        <v>#REF!</v>
      </c>
      <c r="BP54" s="181" t="e">
        <f>IF(B54&lt;&gt;"",VLOOKUP(B54,'[9]IRR MES'!$C$5:$AK$600,32),"")</f>
        <v>#REF!</v>
      </c>
      <c r="BQ54" s="181" t="e">
        <f>IF(B54&lt;&gt;"",VLOOKUP(B54,'[9]IRR MES'!$C$5:$AK$600,33),"")</f>
        <v>#REF!</v>
      </c>
      <c r="BR54" s="181" t="e">
        <f t="shared" si="54"/>
        <v>#REF!</v>
      </c>
      <c r="BS54" s="181" t="e">
        <f>IF(B54&lt;&gt;"",VLOOKUP(B54,'[9]IRR MES'!$C$5:$AK$600,34),"")</f>
        <v>#REF!</v>
      </c>
      <c r="BT54" s="248" t="e">
        <f>IF(B54&lt;&gt;"",VLOOKUP(B54,'[9]IRR MES'!$C$1:$AK$600,4),"")</f>
        <v>#REF!</v>
      </c>
      <c r="BU54" s="248" t="e">
        <f>IF(B54&lt;&gt;"",VLOOKUP(B54,'[9]IRR MES'!$C$1:$AK$600,7),"")</f>
        <v>#REF!</v>
      </c>
      <c r="BV54" s="248" t="e">
        <f>IF(B54&lt;&gt;"",VLOOKUP(B54,'[9]IRR MES'!$C$1:$AK$600,10),"")</f>
        <v>#REF!</v>
      </c>
      <c r="BW54" s="248" t="e">
        <f>IF(B54&lt;&gt;"",VLOOKUP(B54,'[9]IRR MES'!$C$1:$AK$600,13),"")</f>
        <v>#REF!</v>
      </c>
      <c r="BX54" s="248" t="e">
        <f>IF(B54&lt;&gt;"",VLOOKUP(B54,'[9]IRR MES'!$C$1:$AK$600,16),"")</f>
        <v>#REF!</v>
      </c>
      <c r="BY54" s="248" t="e">
        <f>IF(B54&lt;&gt;"",VLOOKUP(B54,'[9]IRR MES'!$C$1:$AK$600,19),"")</f>
        <v>#REF!</v>
      </c>
      <c r="BZ54" s="248" t="e">
        <f>IF(B54&lt;&gt;"",VLOOKUP(B54,'[9]IRR MES'!$C$1:$AK$600,22),"")</f>
        <v>#REF!</v>
      </c>
      <c r="CA54" s="248" t="e">
        <f>IF(B54&lt;&gt;"",VLOOKUP(B54,'[9]IRR MES'!$C$1:$AK$600,25),"")</f>
        <v>#REF!</v>
      </c>
      <c r="CB54" s="248" t="e">
        <f>IF(B54&lt;&gt;"",VLOOKUP(B54,'[9]IRR MES'!$C$1:$AK$600,28),"")</f>
        <v>#REF!</v>
      </c>
      <c r="CC54" s="248" t="e">
        <f>IF(B54&lt;&gt;"",VLOOKUP(B54,'[9]IRR MES'!$C$1:$AK$600,31),"")</f>
        <v>#REF!</v>
      </c>
      <c r="CD54" s="249" t="e">
        <f>#REF!</f>
        <v>#REF!</v>
      </c>
    </row>
    <row r="55" spans="1:82" x14ac:dyDescent="0.2">
      <c r="A55" s="10" t="e">
        <f t="shared" si="29"/>
        <v>#REF!</v>
      </c>
      <c r="B55" s="50" t="e">
        <f>#REF!</f>
        <v>#REF!</v>
      </c>
      <c r="C55" s="38">
        <f>'LEVANTAMENTO DADOS'!B53</f>
        <v>2830.16</v>
      </c>
      <c r="D55" s="63" t="e">
        <f>'BASE DE CALCULO IR'!W55</f>
        <v>#REF!</v>
      </c>
      <c r="E55" s="63"/>
      <c r="F55" s="60"/>
      <c r="G55" s="63"/>
      <c r="H55" s="63"/>
      <c r="I55" s="63"/>
      <c r="J55" s="63"/>
      <c r="K55" s="61"/>
      <c r="L55" s="61"/>
      <c r="M55" s="61"/>
      <c r="N55" s="60"/>
      <c r="O55" s="60"/>
      <c r="P55" s="60"/>
      <c r="Q55" s="62"/>
      <c r="R55" s="62" t="e">
        <f t="shared" si="30"/>
        <v>#REF!</v>
      </c>
      <c r="S55" s="63" t="e">
        <f t="shared" si="31"/>
        <v>#REF!</v>
      </c>
      <c r="T55" s="250"/>
      <c r="U55" s="63" t="e">
        <f t="shared" si="32"/>
        <v>#REF!</v>
      </c>
      <c r="V55" s="63" t="e">
        <f>#REF!</f>
        <v>#REF!</v>
      </c>
      <c r="W55" s="63" t="e">
        <f t="shared" si="33"/>
        <v>#REF!</v>
      </c>
      <c r="X55" s="242" t="e">
        <f t="shared" si="34"/>
        <v>#REF!</v>
      </c>
      <c r="Y55" s="34" t="e">
        <f t="shared" si="28"/>
        <v>#REF!</v>
      </c>
      <c r="Z55" s="34" t="e">
        <f t="shared" si="35"/>
        <v>#REF!</v>
      </c>
      <c r="AA55" s="176" t="e">
        <f t="shared" si="36"/>
        <v>#REF!</v>
      </c>
      <c r="AB55" s="11" t="e">
        <f t="shared" si="37"/>
        <v>#REF!</v>
      </c>
      <c r="AC55" s="245" t="e">
        <f t="shared" si="38"/>
        <v>#REF!</v>
      </c>
      <c r="AD55" s="245" t="e">
        <f t="shared" si="39"/>
        <v>#REF!</v>
      </c>
      <c r="AE55" s="245"/>
      <c r="AF55" s="245" t="e">
        <f t="shared" si="40"/>
        <v>#REF!</v>
      </c>
      <c r="AG55" s="173" t="e">
        <f t="shared" si="41"/>
        <v>#REF!</v>
      </c>
      <c r="AH55" s="51" t="e">
        <f t="shared" si="42"/>
        <v>#REF!</v>
      </c>
      <c r="AI55" s="63" t="e">
        <f>IF(B55&lt;&gt;"",VLOOKUP(B55,'[9]IRR MES'!$C$15:$AK$600,32),"")</f>
        <v>#REF!</v>
      </c>
      <c r="AJ55" s="246" t="e">
        <f t="shared" si="43"/>
        <v>#REF!</v>
      </c>
      <c r="AK55" s="181" t="e">
        <f t="shared" si="44"/>
        <v>#REF!</v>
      </c>
      <c r="AL55" s="181" t="e">
        <f t="shared" si="45"/>
        <v>#REF!</v>
      </c>
      <c r="AM55" s="181" t="e">
        <f t="shared" si="46"/>
        <v>#REF!</v>
      </c>
      <c r="AN55" s="181" t="e">
        <f t="shared" si="47"/>
        <v>#REF!</v>
      </c>
      <c r="AO55" s="181" t="e">
        <f t="shared" si="48"/>
        <v>#REF!</v>
      </c>
      <c r="AP55" s="181" t="e">
        <f t="shared" si="49"/>
        <v>#REF!</v>
      </c>
      <c r="AQ55" s="181" t="e">
        <f t="shared" si="50"/>
        <v>#REF!</v>
      </c>
      <c r="AR55" s="181" t="e">
        <f t="shared" si="51"/>
        <v>#REF!</v>
      </c>
      <c r="AS55" s="181" t="e">
        <f t="shared" si="52"/>
        <v>#REF!</v>
      </c>
      <c r="AT55" s="181" t="e">
        <f t="shared" si="53"/>
        <v>#REF!</v>
      </c>
      <c r="AU55" s="181"/>
      <c r="AV55" s="63"/>
      <c r="AW55" s="181" t="e">
        <f>IF(B55&lt;&gt;"",VLOOKUP(B55,'[9]IRR MES'!$C$5:$AK$600,2),"")</f>
        <v>#REF!</v>
      </c>
      <c r="AX55" s="247" t="e">
        <f>IF(B55&lt;&gt;"",VLOOKUP(B55,'[9]IRR MES'!$C$5:$AK$600,3),"")</f>
        <v>#REF!</v>
      </c>
      <c r="AY55" s="181" t="e">
        <f>IF(B55&lt;&gt;"",VLOOKUP(B55,'[9]IRR MES'!$C$5:$AK$600,5),"")</f>
        <v>#REF!</v>
      </c>
      <c r="AZ55" s="247" t="e">
        <f>IF(B55&lt;&gt;"",VLOOKUP(B55,'[9]IRR MES'!$C$5:$AK$600,6),"")</f>
        <v>#REF!</v>
      </c>
      <c r="BA55" s="181" t="e">
        <f>IF(B55&lt;&gt;"",VLOOKUP(B55,'[9]IRR MES'!$C$5:$AK$600,8),"")</f>
        <v>#REF!</v>
      </c>
      <c r="BB55" s="247" t="e">
        <f>IF(B55&lt;&gt;"",VLOOKUP(B55,'[9]IRR MES'!$C$5:$AK$600,9),"")</f>
        <v>#REF!</v>
      </c>
      <c r="BC55" s="247" t="e">
        <f>IF(B55&lt;&gt;"",VLOOKUP(B55,'[9]IRR MES'!$C$5:$AK$600,12),"")</f>
        <v>#REF!</v>
      </c>
      <c r="BD55" s="181" t="e">
        <f>IF(B55&lt;&gt;"",VLOOKUP(B55,'[9]IRR MES'!$C$5:$AK$600,14),"")</f>
        <v>#REF!</v>
      </c>
      <c r="BE55" s="247" t="e">
        <f>IF(B55&lt;&gt;"",VLOOKUP(B55,'[9]IRR MES'!$C$5:$AK$600,15),"")</f>
        <v>#REF!</v>
      </c>
      <c r="BF55" s="181" t="e">
        <f>IF(B55&lt;&gt;"",VLOOKUP(B55,'[9]IRR MES'!$C$5:$AK$600,17),"")</f>
        <v>#REF!</v>
      </c>
      <c r="BG55" s="247" t="e">
        <f>IF(B55&lt;&gt;"",VLOOKUP(B55,'[9]IRR MES'!$C$5:$AK$600,18),"")</f>
        <v>#REF!</v>
      </c>
      <c r="BH55" s="181" t="e">
        <f>IF(B55&lt;&gt;"",VLOOKUP(B55,'[9]IRR MES'!$C$5:$AK$600,20),"")</f>
        <v>#REF!</v>
      </c>
      <c r="BI55" s="247" t="e">
        <f>IF(B55&lt;&gt;"",VLOOKUP(B55,'[9]IRR MES'!$C$5:$AK$600,21),"")</f>
        <v>#REF!</v>
      </c>
      <c r="BJ55" s="181" t="e">
        <f>IF(B55&lt;&gt;"",VLOOKUP(B55,'[9]IRR MES'!$C$5:$AK$600,23),"")</f>
        <v>#REF!</v>
      </c>
      <c r="BK55" s="247" t="e">
        <f>IF(B55&lt;&gt;"",VLOOKUP(B55,'[9]IRR MES'!$C$5:$AK$600,24),"")</f>
        <v>#REF!</v>
      </c>
      <c r="BL55" s="181" t="e">
        <f>IF(B55&lt;&gt;"",VLOOKUP(B55,'[9]IRR MES'!$C$5:$AK$600,26),"")</f>
        <v>#REF!</v>
      </c>
      <c r="BM55" s="247" t="e">
        <f>IF(B55&lt;&gt;"",VLOOKUP(B55,'[9]IRR MES'!$C$5:$AK$600,27),"")</f>
        <v>#REF!</v>
      </c>
      <c r="BN55" s="181" t="e">
        <f>IF(B55&lt;&gt;"",VLOOKUP(B55,'[9]IRR MES'!$C$5:$AK$600,29),"")</f>
        <v>#REF!</v>
      </c>
      <c r="BO55" s="247" t="e">
        <f>IF(B55&lt;&gt;"",VLOOKUP(B55,'[9]IRR MES'!$C$5:$AK$600,30),"")</f>
        <v>#REF!</v>
      </c>
      <c r="BP55" s="181" t="e">
        <f>IF(B55&lt;&gt;"",VLOOKUP(B55,'[9]IRR MES'!$C$5:$AK$600,32),"")</f>
        <v>#REF!</v>
      </c>
      <c r="BQ55" s="181" t="e">
        <f>IF(B55&lt;&gt;"",VLOOKUP(B55,'[9]IRR MES'!$C$5:$AK$600,33),"")</f>
        <v>#REF!</v>
      </c>
      <c r="BR55" s="181" t="e">
        <f t="shared" si="54"/>
        <v>#REF!</v>
      </c>
      <c r="BS55" s="181" t="e">
        <f>IF(B55&lt;&gt;"",VLOOKUP(B55,'[9]IRR MES'!$C$5:$AK$600,34),"")</f>
        <v>#REF!</v>
      </c>
      <c r="BT55" s="248" t="e">
        <f>IF(B55&lt;&gt;"",VLOOKUP(B55,'[9]IRR MES'!$C$1:$AK$600,4),"")</f>
        <v>#REF!</v>
      </c>
      <c r="BU55" s="248" t="e">
        <f>IF(B55&lt;&gt;"",VLOOKUP(B55,'[9]IRR MES'!$C$1:$AK$600,7),"")</f>
        <v>#REF!</v>
      </c>
      <c r="BV55" s="248" t="e">
        <f>IF(B55&lt;&gt;"",VLOOKUP(B55,'[9]IRR MES'!$C$1:$AK$600,10),"")</f>
        <v>#REF!</v>
      </c>
      <c r="BW55" s="248" t="e">
        <f>IF(B55&lt;&gt;"",VLOOKUP(B55,'[9]IRR MES'!$C$1:$AK$600,13),"")</f>
        <v>#REF!</v>
      </c>
      <c r="BX55" s="248" t="e">
        <f>IF(B55&lt;&gt;"",VLOOKUP(B55,'[9]IRR MES'!$C$1:$AK$600,16),"")</f>
        <v>#REF!</v>
      </c>
      <c r="BY55" s="248" t="e">
        <f>IF(B55&lt;&gt;"",VLOOKUP(B55,'[9]IRR MES'!$C$1:$AK$600,19),"")</f>
        <v>#REF!</v>
      </c>
      <c r="BZ55" s="248" t="e">
        <f>IF(B55&lt;&gt;"",VLOOKUP(B55,'[9]IRR MES'!$C$1:$AK$600,22),"")</f>
        <v>#REF!</v>
      </c>
      <c r="CA55" s="248" t="e">
        <f>IF(B55&lt;&gt;"",VLOOKUP(B55,'[9]IRR MES'!$C$1:$AK$600,25),"")</f>
        <v>#REF!</v>
      </c>
      <c r="CB55" s="248" t="e">
        <f>IF(B55&lt;&gt;"",VLOOKUP(B55,'[9]IRR MES'!$C$1:$AK$600,28),"")</f>
        <v>#REF!</v>
      </c>
      <c r="CC55" s="248" t="e">
        <f>IF(B55&lt;&gt;"",VLOOKUP(B55,'[9]IRR MES'!$C$1:$AK$600,31),"")</f>
        <v>#REF!</v>
      </c>
      <c r="CD55" s="249" t="e">
        <f>#REF!</f>
        <v>#REF!</v>
      </c>
    </row>
    <row r="56" spans="1:82" x14ac:dyDescent="0.2">
      <c r="A56" s="10" t="e">
        <f t="shared" si="29"/>
        <v>#REF!</v>
      </c>
      <c r="B56" s="50" t="e">
        <f>#REF!</f>
        <v>#REF!</v>
      </c>
      <c r="C56" s="38">
        <f>'LEVANTAMENTO DADOS'!B54</f>
        <v>3562.26</v>
      </c>
      <c r="D56" s="63" t="e">
        <f>'BASE DE CALCULO IR'!W56</f>
        <v>#REF!</v>
      </c>
      <c r="E56" s="63"/>
      <c r="F56" s="60"/>
      <c r="G56" s="63"/>
      <c r="H56" s="63"/>
      <c r="I56" s="63"/>
      <c r="J56" s="63"/>
      <c r="K56" s="61"/>
      <c r="L56" s="61"/>
      <c r="M56" s="61"/>
      <c r="N56" s="60"/>
      <c r="O56" s="60"/>
      <c r="P56" s="60"/>
      <c r="Q56" s="62"/>
      <c r="R56" s="62" t="e">
        <f t="shared" si="30"/>
        <v>#REF!</v>
      </c>
      <c r="S56" s="63" t="e">
        <f t="shared" si="31"/>
        <v>#REF!</v>
      </c>
      <c r="T56" s="250"/>
      <c r="U56" s="63" t="e">
        <f t="shared" si="32"/>
        <v>#REF!</v>
      </c>
      <c r="V56" s="63" t="e">
        <f>#REF!</f>
        <v>#REF!</v>
      </c>
      <c r="W56" s="63" t="e">
        <f t="shared" si="33"/>
        <v>#REF!</v>
      </c>
      <c r="X56" s="242" t="e">
        <f t="shared" si="34"/>
        <v>#REF!</v>
      </c>
      <c r="Y56" s="34" t="e">
        <f t="shared" si="28"/>
        <v>#REF!</v>
      </c>
      <c r="Z56" s="34" t="e">
        <f t="shared" si="35"/>
        <v>#REF!</v>
      </c>
      <c r="AA56" s="176" t="e">
        <f t="shared" si="36"/>
        <v>#REF!</v>
      </c>
      <c r="AB56" s="11" t="e">
        <f t="shared" si="37"/>
        <v>#REF!</v>
      </c>
      <c r="AC56" s="245" t="e">
        <f t="shared" si="38"/>
        <v>#REF!</v>
      </c>
      <c r="AD56" s="245" t="e">
        <f t="shared" si="39"/>
        <v>#REF!</v>
      </c>
      <c r="AE56" s="245"/>
      <c r="AF56" s="245" t="e">
        <f t="shared" si="40"/>
        <v>#REF!</v>
      </c>
      <c r="AG56" s="173" t="e">
        <f t="shared" si="41"/>
        <v>#REF!</v>
      </c>
      <c r="AH56" s="51" t="e">
        <f t="shared" si="42"/>
        <v>#REF!</v>
      </c>
      <c r="AI56" s="63" t="e">
        <f>IF(B56&lt;&gt;"",VLOOKUP(B56,'[9]IRR MES'!$C$15:$AK$600,32),"")</f>
        <v>#REF!</v>
      </c>
      <c r="AJ56" s="246" t="e">
        <f t="shared" si="43"/>
        <v>#REF!</v>
      </c>
      <c r="AK56" s="181" t="e">
        <f t="shared" si="44"/>
        <v>#REF!</v>
      </c>
      <c r="AL56" s="181" t="e">
        <f t="shared" si="45"/>
        <v>#REF!</v>
      </c>
      <c r="AM56" s="181" t="e">
        <f t="shared" si="46"/>
        <v>#REF!</v>
      </c>
      <c r="AN56" s="181" t="e">
        <f t="shared" si="47"/>
        <v>#REF!</v>
      </c>
      <c r="AO56" s="181" t="e">
        <f t="shared" si="48"/>
        <v>#REF!</v>
      </c>
      <c r="AP56" s="181" t="e">
        <f t="shared" si="49"/>
        <v>#REF!</v>
      </c>
      <c r="AQ56" s="181" t="e">
        <f t="shared" si="50"/>
        <v>#REF!</v>
      </c>
      <c r="AR56" s="181" t="e">
        <f t="shared" si="51"/>
        <v>#REF!</v>
      </c>
      <c r="AS56" s="181" t="e">
        <f t="shared" si="52"/>
        <v>#REF!</v>
      </c>
      <c r="AT56" s="181" t="e">
        <f t="shared" si="53"/>
        <v>#REF!</v>
      </c>
      <c r="AU56" s="181"/>
      <c r="AV56" s="63"/>
      <c r="AW56" s="181" t="e">
        <f>IF(B56&lt;&gt;"",VLOOKUP(B56,'[9]IRR MES'!$C$5:$AK$600,2),"")</f>
        <v>#REF!</v>
      </c>
      <c r="AX56" s="247" t="e">
        <f>IF(B56&lt;&gt;"",VLOOKUP(B56,'[9]IRR MES'!$C$5:$AK$600,3),"")</f>
        <v>#REF!</v>
      </c>
      <c r="AY56" s="181" t="e">
        <f>IF(B56&lt;&gt;"",VLOOKUP(B56,'[9]IRR MES'!$C$5:$AK$600,5),"")</f>
        <v>#REF!</v>
      </c>
      <c r="AZ56" s="247" t="e">
        <f>IF(B56&lt;&gt;"",VLOOKUP(B56,'[9]IRR MES'!$C$5:$AK$600,6),"")</f>
        <v>#REF!</v>
      </c>
      <c r="BA56" s="181" t="e">
        <f>IF(B56&lt;&gt;"",VLOOKUP(B56,'[9]IRR MES'!$C$5:$AK$600,8),"")</f>
        <v>#REF!</v>
      </c>
      <c r="BB56" s="247" t="e">
        <f>IF(B56&lt;&gt;"",VLOOKUP(B56,'[9]IRR MES'!$C$5:$AK$600,9),"")</f>
        <v>#REF!</v>
      </c>
      <c r="BC56" s="247" t="e">
        <f>IF(B56&lt;&gt;"",VLOOKUP(B56,'[9]IRR MES'!$C$5:$AK$600,12),"")</f>
        <v>#REF!</v>
      </c>
      <c r="BD56" s="181" t="e">
        <f>IF(B56&lt;&gt;"",VLOOKUP(B56,'[9]IRR MES'!$C$5:$AK$600,14),"")</f>
        <v>#REF!</v>
      </c>
      <c r="BE56" s="247" t="e">
        <f>IF(B56&lt;&gt;"",VLOOKUP(B56,'[9]IRR MES'!$C$5:$AK$600,15),"")</f>
        <v>#REF!</v>
      </c>
      <c r="BF56" s="181" t="e">
        <f>IF(B56&lt;&gt;"",VLOOKUP(B56,'[9]IRR MES'!$C$5:$AK$600,17),"")</f>
        <v>#REF!</v>
      </c>
      <c r="BG56" s="247" t="e">
        <f>IF(B56&lt;&gt;"",VLOOKUP(B56,'[9]IRR MES'!$C$5:$AK$600,18),"")</f>
        <v>#REF!</v>
      </c>
      <c r="BH56" s="181" t="e">
        <f>IF(B56&lt;&gt;"",VLOOKUP(B56,'[9]IRR MES'!$C$5:$AK$600,20),"")</f>
        <v>#REF!</v>
      </c>
      <c r="BI56" s="247" t="e">
        <f>IF(B56&lt;&gt;"",VLOOKUP(B56,'[9]IRR MES'!$C$5:$AK$600,21),"")</f>
        <v>#REF!</v>
      </c>
      <c r="BJ56" s="181" t="e">
        <f>IF(B56&lt;&gt;"",VLOOKUP(B56,'[9]IRR MES'!$C$5:$AK$600,23),"")</f>
        <v>#REF!</v>
      </c>
      <c r="BK56" s="247" t="e">
        <f>IF(B56&lt;&gt;"",VLOOKUP(B56,'[9]IRR MES'!$C$5:$AK$600,24),"")</f>
        <v>#REF!</v>
      </c>
      <c r="BL56" s="181" t="e">
        <f>IF(B56&lt;&gt;"",VLOOKUP(B56,'[9]IRR MES'!$C$5:$AK$600,26),"")</f>
        <v>#REF!</v>
      </c>
      <c r="BM56" s="247" t="e">
        <f>IF(B56&lt;&gt;"",VLOOKUP(B56,'[9]IRR MES'!$C$5:$AK$600,27),"")</f>
        <v>#REF!</v>
      </c>
      <c r="BN56" s="181" t="e">
        <f>IF(B56&lt;&gt;"",VLOOKUP(B56,'[9]IRR MES'!$C$5:$AK$600,29),"")</f>
        <v>#REF!</v>
      </c>
      <c r="BO56" s="247" t="e">
        <f>IF(B56&lt;&gt;"",VLOOKUP(B56,'[9]IRR MES'!$C$5:$AK$600,30),"")</f>
        <v>#REF!</v>
      </c>
      <c r="BP56" s="181" t="e">
        <f>IF(B56&lt;&gt;"",VLOOKUP(B56,'[9]IRR MES'!$C$5:$AK$600,32),"")</f>
        <v>#REF!</v>
      </c>
      <c r="BQ56" s="181" t="e">
        <f>IF(B56&lt;&gt;"",VLOOKUP(B56,'[9]IRR MES'!$C$5:$AK$600,33),"")</f>
        <v>#REF!</v>
      </c>
      <c r="BR56" s="181" t="e">
        <f t="shared" si="54"/>
        <v>#REF!</v>
      </c>
      <c r="BS56" s="181" t="e">
        <f>IF(B56&lt;&gt;"",VLOOKUP(B56,'[9]IRR MES'!$C$5:$AK$600,34),"")</f>
        <v>#REF!</v>
      </c>
      <c r="BT56" s="248" t="e">
        <f>IF(B56&lt;&gt;"",VLOOKUP(B56,'[9]IRR MES'!$C$1:$AK$600,4),"")</f>
        <v>#REF!</v>
      </c>
      <c r="BU56" s="248" t="e">
        <f>IF(B56&lt;&gt;"",VLOOKUP(B56,'[9]IRR MES'!$C$1:$AK$600,7),"")</f>
        <v>#REF!</v>
      </c>
      <c r="BV56" s="248" t="e">
        <f>IF(B56&lt;&gt;"",VLOOKUP(B56,'[9]IRR MES'!$C$1:$AK$600,10),"")</f>
        <v>#REF!</v>
      </c>
      <c r="BW56" s="248" t="e">
        <f>IF(B56&lt;&gt;"",VLOOKUP(B56,'[9]IRR MES'!$C$1:$AK$600,13),"")</f>
        <v>#REF!</v>
      </c>
      <c r="BX56" s="248" t="e">
        <f>IF(B56&lt;&gt;"",VLOOKUP(B56,'[9]IRR MES'!$C$1:$AK$600,16),"")</f>
        <v>#REF!</v>
      </c>
      <c r="BY56" s="248" t="e">
        <f>IF(B56&lt;&gt;"",VLOOKUP(B56,'[9]IRR MES'!$C$1:$AK$600,19),"")</f>
        <v>#REF!</v>
      </c>
      <c r="BZ56" s="248" t="e">
        <f>IF(B56&lt;&gt;"",VLOOKUP(B56,'[9]IRR MES'!$C$1:$AK$600,22),"")</f>
        <v>#REF!</v>
      </c>
      <c r="CA56" s="248" t="e">
        <f>IF(B56&lt;&gt;"",VLOOKUP(B56,'[9]IRR MES'!$C$1:$AK$600,25),"")</f>
        <v>#REF!</v>
      </c>
      <c r="CB56" s="248" t="e">
        <f>IF(B56&lt;&gt;"",VLOOKUP(B56,'[9]IRR MES'!$C$1:$AK$600,28),"")</f>
        <v>#REF!</v>
      </c>
      <c r="CC56" s="248" t="e">
        <f>IF(B56&lt;&gt;"",VLOOKUP(B56,'[9]IRR MES'!$C$1:$AK$600,31),"")</f>
        <v>#REF!</v>
      </c>
      <c r="CD56" s="249" t="e">
        <f>#REF!</f>
        <v>#REF!</v>
      </c>
    </row>
    <row r="57" spans="1:82" x14ac:dyDescent="0.2">
      <c r="A57" s="10" t="e">
        <f t="shared" si="29"/>
        <v>#REF!</v>
      </c>
      <c r="B57" s="50" t="e">
        <f>#REF!</f>
        <v>#REF!</v>
      </c>
      <c r="C57" s="38">
        <f>'LEVANTAMENTO DADOS'!B55</f>
        <v>3555.2</v>
      </c>
      <c r="D57" s="63" t="e">
        <f>'BASE DE CALCULO IR'!W57</f>
        <v>#REF!</v>
      </c>
      <c r="E57" s="63"/>
      <c r="F57" s="60"/>
      <c r="G57" s="63"/>
      <c r="H57" s="63"/>
      <c r="I57" s="63"/>
      <c r="J57" s="63"/>
      <c r="K57" s="61"/>
      <c r="L57" s="61"/>
      <c r="M57" s="61"/>
      <c r="N57" s="60"/>
      <c r="O57" s="60"/>
      <c r="P57" s="60"/>
      <c r="Q57" s="62"/>
      <c r="R57" s="62" t="e">
        <f t="shared" si="30"/>
        <v>#REF!</v>
      </c>
      <c r="S57" s="63" t="e">
        <f t="shared" si="31"/>
        <v>#REF!</v>
      </c>
      <c r="T57" s="250"/>
      <c r="U57" s="63" t="e">
        <f t="shared" si="32"/>
        <v>#REF!</v>
      </c>
      <c r="V57" s="63" t="e">
        <f>#REF!</f>
        <v>#REF!</v>
      </c>
      <c r="W57" s="63" t="e">
        <f t="shared" si="33"/>
        <v>#REF!</v>
      </c>
      <c r="X57" s="242" t="e">
        <f t="shared" si="34"/>
        <v>#REF!</v>
      </c>
      <c r="Y57" s="34" t="e">
        <f t="shared" si="28"/>
        <v>#REF!</v>
      </c>
      <c r="Z57" s="34" t="e">
        <f t="shared" si="35"/>
        <v>#REF!</v>
      </c>
      <c r="AA57" s="176" t="e">
        <f t="shared" si="36"/>
        <v>#REF!</v>
      </c>
      <c r="AB57" s="11" t="e">
        <f t="shared" si="37"/>
        <v>#REF!</v>
      </c>
      <c r="AC57" s="245" t="e">
        <f t="shared" si="38"/>
        <v>#REF!</v>
      </c>
      <c r="AD57" s="245" t="e">
        <f t="shared" si="39"/>
        <v>#REF!</v>
      </c>
      <c r="AE57" s="245"/>
      <c r="AF57" s="245" t="e">
        <f t="shared" si="40"/>
        <v>#REF!</v>
      </c>
      <c r="AG57" s="173" t="e">
        <f t="shared" si="41"/>
        <v>#REF!</v>
      </c>
      <c r="AH57" s="51" t="e">
        <f t="shared" si="42"/>
        <v>#REF!</v>
      </c>
      <c r="AI57" s="63" t="e">
        <f>IF(B57&lt;&gt;"",VLOOKUP(B57,'[9]IRR MES'!$C$15:$AK$600,32),"")</f>
        <v>#REF!</v>
      </c>
      <c r="AJ57" s="246" t="e">
        <f t="shared" si="43"/>
        <v>#REF!</v>
      </c>
      <c r="AK57" s="181" t="e">
        <f t="shared" si="44"/>
        <v>#REF!</v>
      </c>
      <c r="AL57" s="181" t="e">
        <f t="shared" si="45"/>
        <v>#REF!</v>
      </c>
      <c r="AM57" s="181" t="e">
        <f t="shared" si="46"/>
        <v>#REF!</v>
      </c>
      <c r="AN57" s="181" t="e">
        <f t="shared" si="47"/>
        <v>#REF!</v>
      </c>
      <c r="AO57" s="181" t="e">
        <f t="shared" si="48"/>
        <v>#REF!</v>
      </c>
      <c r="AP57" s="181" t="e">
        <f t="shared" si="49"/>
        <v>#REF!</v>
      </c>
      <c r="AQ57" s="181" t="e">
        <f t="shared" si="50"/>
        <v>#REF!</v>
      </c>
      <c r="AR57" s="181" t="e">
        <f t="shared" si="51"/>
        <v>#REF!</v>
      </c>
      <c r="AS57" s="181" t="e">
        <f t="shared" si="52"/>
        <v>#REF!</v>
      </c>
      <c r="AT57" s="181" t="e">
        <f t="shared" si="53"/>
        <v>#REF!</v>
      </c>
      <c r="AU57" s="181"/>
      <c r="AV57" s="63"/>
      <c r="AW57" s="181" t="e">
        <f>IF(B57&lt;&gt;"",VLOOKUP(B57,'[9]IRR MES'!$C$5:$AK$600,2),"")</f>
        <v>#REF!</v>
      </c>
      <c r="AX57" s="247" t="e">
        <f>IF(B57&lt;&gt;"",VLOOKUP(B57,'[9]IRR MES'!$C$5:$AK$600,3),"")</f>
        <v>#REF!</v>
      </c>
      <c r="AY57" s="181" t="e">
        <f>IF(B57&lt;&gt;"",VLOOKUP(B57,'[9]IRR MES'!$C$5:$AK$600,5),"")</f>
        <v>#REF!</v>
      </c>
      <c r="AZ57" s="247" t="e">
        <f>IF(B57&lt;&gt;"",VLOOKUP(B57,'[9]IRR MES'!$C$5:$AK$600,6),"")</f>
        <v>#REF!</v>
      </c>
      <c r="BA57" s="181" t="e">
        <f>IF(B57&lt;&gt;"",VLOOKUP(B57,'[9]IRR MES'!$C$5:$AK$600,8),"")</f>
        <v>#REF!</v>
      </c>
      <c r="BB57" s="247" t="e">
        <f>IF(B57&lt;&gt;"",VLOOKUP(B57,'[9]IRR MES'!$C$5:$AK$600,9),"")</f>
        <v>#REF!</v>
      </c>
      <c r="BC57" s="247" t="e">
        <f>IF(B57&lt;&gt;"",VLOOKUP(B57,'[9]IRR MES'!$C$5:$AK$600,12),"")</f>
        <v>#REF!</v>
      </c>
      <c r="BD57" s="181" t="e">
        <f>IF(B57&lt;&gt;"",VLOOKUP(B57,'[9]IRR MES'!$C$5:$AK$600,14),"")</f>
        <v>#REF!</v>
      </c>
      <c r="BE57" s="247" t="e">
        <f>IF(B57&lt;&gt;"",VLOOKUP(B57,'[9]IRR MES'!$C$5:$AK$600,15),"")</f>
        <v>#REF!</v>
      </c>
      <c r="BF57" s="181" t="e">
        <f>IF(B57&lt;&gt;"",VLOOKUP(B57,'[9]IRR MES'!$C$5:$AK$600,17),"")</f>
        <v>#REF!</v>
      </c>
      <c r="BG57" s="247" t="e">
        <f>IF(B57&lt;&gt;"",VLOOKUP(B57,'[9]IRR MES'!$C$5:$AK$600,18),"")</f>
        <v>#REF!</v>
      </c>
      <c r="BH57" s="181" t="e">
        <f>IF(B57&lt;&gt;"",VLOOKUP(B57,'[9]IRR MES'!$C$5:$AK$600,20),"")</f>
        <v>#REF!</v>
      </c>
      <c r="BI57" s="247" t="e">
        <f>IF(B57&lt;&gt;"",VLOOKUP(B57,'[9]IRR MES'!$C$5:$AK$600,21),"")</f>
        <v>#REF!</v>
      </c>
      <c r="BJ57" s="181" t="e">
        <f>IF(B57&lt;&gt;"",VLOOKUP(B57,'[9]IRR MES'!$C$5:$AK$600,23),"")</f>
        <v>#REF!</v>
      </c>
      <c r="BK57" s="247" t="e">
        <f>IF(B57&lt;&gt;"",VLOOKUP(B57,'[9]IRR MES'!$C$5:$AK$600,24),"")</f>
        <v>#REF!</v>
      </c>
      <c r="BL57" s="181" t="e">
        <f>IF(B57&lt;&gt;"",VLOOKUP(B57,'[9]IRR MES'!$C$5:$AK$600,26),"")</f>
        <v>#REF!</v>
      </c>
      <c r="BM57" s="247" t="e">
        <f>IF(B57&lt;&gt;"",VLOOKUP(B57,'[9]IRR MES'!$C$5:$AK$600,27),"")</f>
        <v>#REF!</v>
      </c>
      <c r="BN57" s="181" t="e">
        <f>IF(B57&lt;&gt;"",VLOOKUP(B57,'[9]IRR MES'!$C$5:$AK$600,29),"")</f>
        <v>#REF!</v>
      </c>
      <c r="BO57" s="247" t="e">
        <f>IF(B57&lt;&gt;"",VLOOKUP(B57,'[9]IRR MES'!$C$5:$AK$600,30),"")</f>
        <v>#REF!</v>
      </c>
      <c r="BP57" s="181" t="e">
        <f>IF(B57&lt;&gt;"",VLOOKUP(B57,'[9]IRR MES'!$C$5:$AK$600,32),"")</f>
        <v>#REF!</v>
      </c>
      <c r="BQ57" s="181" t="e">
        <f>IF(B57&lt;&gt;"",VLOOKUP(B57,'[9]IRR MES'!$C$5:$AK$600,33),"")</f>
        <v>#REF!</v>
      </c>
      <c r="BR57" s="181" t="e">
        <f t="shared" si="54"/>
        <v>#REF!</v>
      </c>
      <c r="BS57" s="181" t="e">
        <f>IF(B57&lt;&gt;"",VLOOKUP(B57,'[9]IRR MES'!$C$5:$AK$600,34),"")</f>
        <v>#REF!</v>
      </c>
      <c r="BT57" s="248" t="e">
        <f>IF(B57&lt;&gt;"",VLOOKUP(B57,'[9]IRR MES'!$C$1:$AK$600,4),"")</f>
        <v>#REF!</v>
      </c>
      <c r="BU57" s="248" t="e">
        <f>IF(B57&lt;&gt;"",VLOOKUP(B57,'[9]IRR MES'!$C$1:$AK$600,7),"")</f>
        <v>#REF!</v>
      </c>
      <c r="BV57" s="248" t="e">
        <f>IF(B57&lt;&gt;"",VLOOKUP(B57,'[9]IRR MES'!$C$1:$AK$600,10),"")</f>
        <v>#REF!</v>
      </c>
      <c r="BW57" s="248" t="e">
        <f>IF(B57&lt;&gt;"",VLOOKUP(B57,'[9]IRR MES'!$C$1:$AK$600,13),"")</f>
        <v>#REF!</v>
      </c>
      <c r="BX57" s="248" t="e">
        <f>IF(B57&lt;&gt;"",VLOOKUP(B57,'[9]IRR MES'!$C$1:$AK$600,16),"")</f>
        <v>#REF!</v>
      </c>
      <c r="BY57" s="248" t="e">
        <f>IF(B57&lt;&gt;"",VLOOKUP(B57,'[9]IRR MES'!$C$1:$AK$600,19),"")</f>
        <v>#REF!</v>
      </c>
      <c r="BZ57" s="248" t="e">
        <f>IF(B57&lt;&gt;"",VLOOKUP(B57,'[9]IRR MES'!$C$1:$AK$600,22),"")</f>
        <v>#REF!</v>
      </c>
      <c r="CA57" s="248" t="e">
        <f>IF(B57&lt;&gt;"",VLOOKUP(B57,'[9]IRR MES'!$C$1:$AK$600,25),"")</f>
        <v>#REF!</v>
      </c>
      <c r="CB57" s="248" t="e">
        <f>IF(B57&lt;&gt;"",VLOOKUP(B57,'[9]IRR MES'!$C$1:$AK$600,28),"")</f>
        <v>#REF!</v>
      </c>
      <c r="CC57" s="248" t="e">
        <f>IF(B57&lt;&gt;"",VLOOKUP(B57,'[9]IRR MES'!$C$1:$AK$600,31),"")</f>
        <v>#REF!</v>
      </c>
      <c r="CD57" s="249" t="e">
        <f>#REF!</f>
        <v>#REF!</v>
      </c>
    </row>
    <row r="58" spans="1:82" x14ac:dyDescent="0.2">
      <c r="A58" s="10" t="e">
        <f t="shared" si="29"/>
        <v>#REF!</v>
      </c>
      <c r="B58" s="50" t="e">
        <f>#REF!</f>
        <v>#REF!</v>
      </c>
      <c r="C58" s="38">
        <f>'LEVANTAMENTO DADOS'!B56</f>
        <v>3888.13</v>
      </c>
      <c r="D58" s="63" t="e">
        <f>'BASE DE CALCULO IR'!W58</f>
        <v>#REF!</v>
      </c>
      <c r="E58" s="63"/>
      <c r="F58" s="60"/>
      <c r="G58" s="63"/>
      <c r="H58" s="63"/>
      <c r="I58" s="63"/>
      <c r="J58" s="63"/>
      <c r="K58" s="61"/>
      <c r="L58" s="61"/>
      <c r="M58" s="61"/>
      <c r="N58" s="60"/>
      <c r="O58" s="60"/>
      <c r="P58" s="60"/>
      <c r="Q58" s="62"/>
      <c r="R58" s="62" t="e">
        <f t="shared" si="30"/>
        <v>#REF!</v>
      </c>
      <c r="S58" s="63" t="e">
        <f t="shared" si="31"/>
        <v>#REF!</v>
      </c>
      <c r="T58" s="250"/>
      <c r="U58" s="63" t="e">
        <f t="shared" si="32"/>
        <v>#REF!</v>
      </c>
      <c r="V58" s="63" t="e">
        <f>#REF!</f>
        <v>#REF!</v>
      </c>
      <c r="W58" s="63" t="e">
        <f t="shared" si="33"/>
        <v>#REF!</v>
      </c>
      <c r="X58" s="242" t="e">
        <f t="shared" si="34"/>
        <v>#REF!</v>
      </c>
      <c r="Y58" s="34" t="e">
        <f t="shared" si="28"/>
        <v>#REF!</v>
      </c>
      <c r="Z58" s="34" t="e">
        <f t="shared" si="35"/>
        <v>#REF!</v>
      </c>
      <c r="AA58" s="176" t="e">
        <f t="shared" si="36"/>
        <v>#REF!</v>
      </c>
      <c r="AB58" s="11" t="e">
        <f t="shared" si="37"/>
        <v>#REF!</v>
      </c>
      <c r="AC58" s="245" t="e">
        <f t="shared" si="38"/>
        <v>#REF!</v>
      </c>
      <c r="AD58" s="245" t="e">
        <f t="shared" si="39"/>
        <v>#REF!</v>
      </c>
      <c r="AE58" s="245"/>
      <c r="AF58" s="245" t="e">
        <f t="shared" si="40"/>
        <v>#REF!</v>
      </c>
      <c r="AG58" s="173" t="e">
        <f t="shared" si="41"/>
        <v>#REF!</v>
      </c>
      <c r="AH58" s="51" t="e">
        <f t="shared" si="42"/>
        <v>#REF!</v>
      </c>
      <c r="AI58" s="63" t="e">
        <f>IF(B58&lt;&gt;"",VLOOKUP(B58,'[9]IRR MES'!$C$15:$AK$600,32),"")</f>
        <v>#REF!</v>
      </c>
      <c r="AJ58" s="246" t="e">
        <f t="shared" si="43"/>
        <v>#REF!</v>
      </c>
      <c r="AK58" s="181" t="e">
        <f t="shared" si="44"/>
        <v>#REF!</v>
      </c>
      <c r="AL58" s="181" t="e">
        <f t="shared" si="45"/>
        <v>#REF!</v>
      </c>
      <c r="AM58" s="181" t="e">
        <f t="shared" si="46"/>
        <v>#REF!</v>
      </c>
      <c r="AN58" s="181" t="e">
        <f t="shared" si="47"/>
        <v>#REF!</v>
      </c>
      <c r="AO58" s="181" t="e">
        <f t="shared" si="48"/>
        <v>#REF!</v>
      </c>
      <c r="AP58" s="181" t="e">
        <f t="shared" si="49"/>
        <v>#REF!</v>
      </c>
      <c r="AQ58" s="181" t="e">
        <f t="shared" si="50"/>
        <v>#REF!</v>
      </c>
      <c r="AR58" s="181" t="e">
        <f t="shared" si="51"/>
        <v>#REF!</v>
      </c>
      <c r="AS58" s="181" t="e">
        <f t="shared" si="52"/>
        <v>#REF!</v>
      </c>
      <c r="AT58" s="181" t="e">
        <f t="shared" si="53"/>
        <v>#REF!</v>
      </c>
      <c r="AU58" s="181"/>
      <c r="AV58" s="63"/>
      <c r="AW58" s="181" t="e">
        <f>IF(B58&lt;&gt;"",VLOOKUP(B58,'[9]IRR MES'!$C$5:$AK$600,2),"")</f>
        <v>#REF!</v>
      </c>
      <c r="AX58" s="247" t="e">
        <f>IF(B58&lt;&gt;"",VLOOKUP(B58,'[9]IRR MES'!$C$5:$AK$600,3),"")</f>
        <v>#REF!</v>
      </c>
      <c r="AY58" s="181" t="e">
        <f>IF(B58&lt;&gt;"",VLOOKUP(B58,'[9]IRR MES'!$C$5:$AK$600,5),"")</f>
        <v>#REF!</v>
      </c>
      <c r="AZ58" s="247" t="e">
        <f>IF(B58&lt;&gt;"",VLOOKUP(B58,'[9]IRR MES'!$C$5:$AK$600,6),"")</f>
        <v>#REF!</v>
      </c>
      <c r="BA58" s="181" t="e">
        <f>IF(B58&lt;&gt;"",VLOOKUP(B58,'[9]IRR MES'!$C$5:$AK$600,8),"")</f>
        <v>#REF!</v>
      </c>
      <c r="BB58" s="247" t="e">
        <f>IF(B58&lt;&gt;"",VLOOKUP(B58,'[9]IRR MES'!$C$5:$AK$600,9),"")</f>
        <v>#REF!</v>
      </c>
      <c r="BC58" s="247" t="e">
        <f>IF(B58&lt;&gt;"",VLOOKUP(B58,'[9]IRR MES'!$C$5:$AK$600,12),"")</f>
        <v>#REF!</v>
      </c>
      <c r="BD58" s="181" t="e">
        <f>IF(B58&lt;&gt;"",VLOOKUP(B58,'[9]IRR MES'!$C$5:$AK$600,14),"")</f>
        <v>#REF!</v>
      </c>
      <c r="BE58" s="247" t="e">
        <f>IF(B58&lt;&gt;"",VLOOKUP(B58,'[9]IRR MES'!$C$5:$AK$600,15),"")</f>
        <v>#REF!</v>
      </c>
      <c r="BF58" s="181" t="e">
        <f>IF(B58&lt;&gt;"",VLOOKUP(B58,'[9]IRR MES'!$C$5:$AK$600,17),"")</f>
        <v>#REF!</v>
      </c>
      <c r="BG58" s="247" t="e">
        <f>IF(B58&lt;&gt;"",VLOOKUP(B58,'[9]IRR MES'!$C$5:$AK$600,18),"")</f>
        <v>#REF!</v>
      </c>
      <c r="BH58" s="181" t="e">
        <f>IF(B58&lt;&gt;"",VLOOKUP(B58,'[9]IRR MES'!$C$5:$AK$600,20),"")</f>
        <v>#REF!</v>
      </c>
      <c r="BI58" s="247" t="e">
        <f>IF(B58&lt;&gt;"",VLOOKUP(B58,'[9]IRR MES'!$C$5:$AK$600,21),"")</f>
        <v>#REF!</v>
      </c>
      <c r="BJ58" s="181" t="e">
        <f>IF(B58&lt;&gt;"",VLOOKUP(B58,'[9]IRR MES'!$C$5:$AK$600,23),"")</f>
        <v>#REF!</v>
      </c>
      <c r="BK58" s="247" t="e">
        <f>IF(B58&lt;&gt;"",VLOOKUP(B58,'[9]IRR MES'!$C$5:$AK$600,24),"")</f>
        <v>#REF!</v>
      </c>
      <c r="BL58" s="181" t="e">
        <f>IF(B58&lt;&gt;"",VLOOKUP(B58,'[9]IRR MES'!$C$5:$AK$600,26),"")</f>
        <v>#REF!</v>
      </c>
      <c r="BM58" s="247" t="e">
        <f>IF(B58&lt;&gt;"",VLOOKUP(B58,'[9]IRR MES'!$C$5:$AK$600,27),"")</f>
        <v>#REF!</v>
      </c>
      <c r="BN58" s="181" t="e">
        <f>IF(B58&lt;&gt;"",VLOOKUP(B58,'[9]IRR MES'!$C$5:$AK$600,29),"")</f>
        <v>#REF!</v>
      </c>
      <c r="BO58" s="247" t="e">
        <f>IF(B58&lt;&gt;"",VLOOKUP(B58,'[9]IRR MES'!$C$5:$AK$600,30),"")</f>
        <v>#REF!</v>
      </c>
      <c r="BP58" s="181" t="e">
        <f>IF(B58&lt;&gt;"",VLOOKUP(B58,'[9]IRR MES'!$C$5:$AK$600,32),"")</f>
        <v>#REF!</v>
      </c>
      <c r="BQ58" s="181" t="e">
        <f>IF(B58&lt;&gt;"",VLOOKUP(B58,'[9]IRR MES'!$C$5:$AK$600,33),"")</f>
        <v>#REF!</v>
      </c>
      <c r="BR58" s="181" t="e">
        <f t="shared" si="54"/>
        <v>#REF!</v>
      </c>
      <c r="BS58" s="181" t="e">
        <f>IF(B58&lt;&gt;"",VLOOKUP(B58,'[9]IRR MES'!$C$5:$AK$600,34),"")</f>
        <v>#REF!</v>
      </c>
      <c r="BT58" s="248" t="e">
        <f>IF(B58&lt;&gt;"",VLOOKUP(B58,'[9]IRR MES'!$C$1:$AK$600,4),"")</f>
        <v>#REF!</v>
      </c>
      <c r="BU58" s="248" t="e">
        <f>IF(B58&lt;&gt;"",VLOOKUP(B58,'[9]IRR MES'!$C$1:$AK$600,7),"")</f>
        <v>#REF!</v>
      </c>
      <c r="BV58" s="248" t="e">
        <f>IF(B58&lt;&gt;"",VLOOKUP(B58,'[9]IRR MES'!$C$1:$AK$600,10),"")</f>
        <v>#REF!</v>
      </c>
      <c r="BW58" s="248" t="e">
        <f>IF(B58&lt;&gt;"",VLOOKUP(B58,'[9]IRR MES'!$C$1:$AK$600,13),"")</f>
        <v>#REF!</v>
      </c>
      <c r="BX58" s="248" t="e">
        <f>IF(B58&lt;&gt;"",VLOOKUP(B58,'[9]IRR MES'!$C$1:$AK$600,16),"")</f>
        <v>#REF!</v>
      </c>
      <c r="BY58" s="248" t="e">
        <f>IF(B58&lt;&gt;"",VLOOKUP(B58,'[9]IRR MES'!$C$1:$AK$600,19),"")</f>
        <v>#REF!</v>
      </c>
      <c r="BZ58" s="248" t="e">
        <f>IF(B58&lt;&gt;"",VLOOKUP(B58,'[9]IRR MES'!$C$1:$AK$600,22),"")</f>
        <v>#REF!</v>
      </c>
      <c r="CA58" s="248" t="e">
        <f>IF(B58&lt;&gt;"",VLOOKUP(B58,'[9]IRR MES'!$C$1:$AK$600,25),"")</f>
        <v>#REF!</v>
      </c>
      <c r="CB58" s="248" t="e">
        <f>IF(B58&lt;&gt;"",VLOOKUP(B58,'[9]IRR MES'!$C$1:$AK$600,28),"")</f>
        <v>#REF!</v>
      </c>
      <c r="CC58" s="248" t="e">
        <f>IF(B58&lt;&gt;"",VLOOKUP(B58,'[9]IRR MES'!$C$1:$AK$600,31),"")</f>
        <v>#REF!</v>
      </c>
      <c r="CD58" s="249" t="e">
        <f>#REF!</f>
        <v>#REF!</v>
      </c>
    </row>
    <row r="59" spans="1:82" x14ac:dyDescent="0.2">
      <c r="A59" s="10" t="e">
        <f t="shared" si="29"/>
        <v>#REF!</v>
      </c>
      <c r="B59" s="50" t="e">
        <f>#REF!</f>
        <v>#REF!</v>
      </c>
      <c r="C59" s="38">
        <f>'LEVANTAMENTO DADOS'!B57</f>
        <v>3586.37</v>
      </c>
      <c r="D59" s="63" t="e">
        <f>'BASE DE CALCULO IR'!W59</f>
        <v>#REF!</v>
      </c>
      <c r="E59" s="63"/>
      <c r="F59" s="60"/>
      <c r="G59" s="63"/>
      <c r="H59" s="63"/>
      <c r="I59" s="63"/>
      <c r="J59" s="63"/>
      <c r="K59" s="61"/>
      <c r="L59" s="61"/>
      <c r="M59" s="61"/>
      <c r="N59" s="60"/>
      <c r="O59" s="60"/>
      <c r="P59" s="60"/>
      <c r="Q59" s="62"/>
      <c r="R59" s="62" t="e">
        <f t="shared" si="30"/>
        <v>#REF!</v>
      </c>
      <c r="S59" s="63" t="e">
        <f t="shared" si="31"/>
        <v>#REF!</v>
      </c>
      <c r="T59" s="250"/>
      <c r="U59" s="63" t="e">
        <f t="shared" si="32"/>
        <v>#REF!</v>
      </c>
      <c r="V59" s="63" t="e">
        <f>#REF!</f>
        <v>#REF!</v>
      </c>
      <c r="W59" s="63" t="e">
        <f t="shared" si="33"/>
        <v>#REF!</v>
      </c>
      <c r="X59" s="242" t="e">
        <f t="shared" si="34"/>
        <v>#REF!</v>
      </c>
      <c r="Y59" s="34" t="e">
        <f t="shared" si="28"/>
        <v>#REF!</v>
      </c>
      <c r="Z59" s="34" t="e">
        <f t="shared" si="35"/>
        <v>#REF!</v>
      </c>
      <c r="AA59" s="176" t="e">
        <f t="shared" si="36"/>
        <v>#REF!</v>
      </c>
      <c r="AB59" s="11" t="e">
        <f t="shared" si="37"/>
        <v>#REF!</v>
      </c>
      <c r="AC59" s="245" t="e">
        <f t="shared" si="38"/>
        <v>#REF!</v>
      </c>
      <c r="AD59" s="245" t="e">
        <f t="shared" si="39"/>
        <v>#REF!</v>
      </c>
      <c r="AE59" s="245"/>
      <c r="AF59" s="245" t="e">
        <f t="shared" si="40"/>
        <v>#REF!</v>
      </c>
      <c r="AG59" s="173" t="e">
        <f t="shared" si="41"/>
        <v>#REF!</v>
      </c>
      <c r="AH59" s="51" t="e">
        <f t="shared" si="42"/>
        <v>#REF!</v>
      </c>
      <c r="AI59" s="63" t="e">
        <f>IF(B59&lt;&gt;"",VLOOKUP(B59,'[9]IRR MES'!$C$15:$AK$600,32),"")</f>
        <v>#REF!</v>
      </c>
      <c r="AJ59" s="246" t="e">
        <f t="shared" si="43"/>
        <v>#REF!</v>
      </c>
      <c r="AK59" s="181" t="e">
        <f t="shared" si="44"/>
        <v>#REF!</v>
      </c>
      <c r="AL59" s="181" t="e">
        <f t="shared" si="45"/>
        <v>#REF!</v>
      </c>
      <c r="AM59" s="181" t="e">
        <f t="shared" si="46"/>
        <v>#REF!</v>
      </c>
      <c r="AN59" s="181" t="e">
        <f t="shared" si="47"/>
        <v>#REF!</v>
      </c>
      <c r="AO59" s="181" t="e">
        <f t="shared" si="48"/>
        <v>#REF!</v>
      </c>
      <c r="AP59" s="181" t="e">
        <f t="shared" si="49"/>
        <v>#REF!</v>
      </c>
      <c r="AQ59" s="181" t="e">
        <f t="shared" si="50"/>
        <v>#REF!</v>
      </c>
      <c r="AR59" s="181" t="e">
        <f t="shared" si="51"/>
        <v>#REF!</v>
      </c>
      <c r="AS59" s="181" t="e">
        <f t="shared" si="52"/>
        <v>#REF!</v>
      </c>
      <c r="AT59" s="181" t="e">
        <f t="shared" si="53"/>
        <v>#REF!</v>
      </c>
      <c r="AU59" s="181"/>
      <c r="AV59" s="63"/>
      <c r="AW59" s="181" t="e">
        <f>IF(B59&lt;&gt;"",VLOOKUP(B59,'[9]IRR MES'!$C$5:$AK$600,2),"")</f>
        <v>#REF!</v>
      </c>
      <c r="AX59" s="247" t="e">
        <f>IF(B59&lt;&gt;"",VLOOKUP(B59,'[9]IRR MES'!$C$5:$AK$600,3),"")</f>
        <v>#REF!</v>
      </c>
      <c r="AY59" s="181" t="e">
        <f>IF(B59&lt;&gt;"",VLOOKUP(B59,'[9]IRR MES'!$C$5:$AK$600,5),"")</f>
        <v>#REF!</v>
      </c>
      <c r="AZ59" s="247" t="e">
        <f>IF(B59&lt;&gt;"",VLOOKUP(B59,'[9]IRR MES'!$C$5:$AK$600,6),"")</f>
        <v>#REF!</v>
      </c>
      <c r="BA59" s="181" t="e">
        <f>IF(B59&lt;&gt;"",VLOOKUP(B59,'[9]IRR MES'!$C$5:$AK$600,8),"")</f>
        <v>#REF!</v>
      </c>
      <c r="BB59" s="247" t="e">
        <f>IF(B59&lt;&gt;"",VLOOKUP(B59,'[9]IRR MES'!$C$5:$AK$600,9),"")</f>
        <v>#REF!</v>
      </c>
      <c r="BC59" s="247" t="e">
        <f>IF(B59&lt;&gt;"",VLOOKUP(B59,'[9]IRR MES'!$C$5:$AK$600,12),"")</f>
        <v>#REF!</v>
      </c>
      <c r="BD59" s="181" t="e">
        <f>IF(B59&lt;&gt;"",VLOOKUP(B59,'[9]IRR MES'!$C$5:$AK$600,14),"")</f>
        <v>#REF!</v>
      </c>
      <c r="BE59" s="247" t="e">
        <f>IF(B59&lt;&gt;"",VLOOKUP(B59,'[9]IRR MES'!$C$5:$AK$600,15),"")</f>
        <v>#REF!</v>
      </c>
      <c r="BF59" s="181" t="e">
        <f>IF(B59&lt;&gt;"",VLOOKUP(B59,'[9]IRR MES'!$C$5:$AK$600,17),"")</f>
        <v>#REF!</v>
      </c>
      <c r="BG59" s="247" t="e">
        <f>IF(B59&lt;&gt;"",VLOOKUP(B59,'[9]IRR MES'!$C$5:$AK$600,18),"")</f>
        <v>#REF!</v>
      </c>
      <c r="BH59" s="181" t="e">
        <f>IF(B59&lt;&gt;"",VLOOKUP(B59,'[9]IRR MES'!$C$5:$AK$600,20),"")</f>
        <v>#REF!</v>
      </c>
      <c r="BI59" s="247" t="e">
        <f>IF(B59&lt;&gt;"",VLOOKUP(B59,'[9]IRR MES'!$C$5:$AK$600,21),"")</f>
        <v>#REF!</v>
      </c>
      <c r="BJ59" s="181" t="e">
        <f>IF(B59&lt;&gt;"",VLOOKUP(B59,'[9]IRR MES'!$C$5:$AK$600,23),"")</f>
        <v>#REF!</v>
      </c>
      <c r="BK59" s="247" t="e">
        <f>IF(B59&lt;&gt;"",VLOOKUP(B59,'[9]IRR MES'!$C$5:$AK$600,24),"")</f>
        <v>#REF!</v>
      </c>
      <c r="BL59" s="181" t="e">
        <f>IF(B59&lt;&gt;"",VLOOKUP(B59,'[9]IRR MES'!$C$5:$AK$600,26),"")</f>
        <v>#REF!</v>
      </c>
      <c r="BM59" s="247" t="e">
        <f>IF(B59&lt;&gt;"",VLOOKUP(B59,'[9]IRR MES'!$C$5:$AK$600,27),"")</f>
        <v>#REF!</v>
      </c>
      <c r="BN59" s="181" t="e">
        <f>IF(B59&lt;&gt;"",VLOOKUP(B59,'[9]IRR MES'!$C$5:$AK$600,29),"")</f>
        <v>#REF!</v>
      </c>
      <c r="BO59" s="247" t="e">
        <f>IF(B59&lt;&gt;"",VLOOKUP(B59,'[9]IRR MES'!$C$5:$AK$600,30),"")</f>
        <v>#REF!</v>
      </c>
      <c r="BP59" s="181" t="e">
        <f>IF(B59&lt;&gt;"",VLOOKUP(B59,'[9]IRR MES'!$C$5:$AK$600,32),"")</f>
        <v>#REF!</v>
      </c>
      <c r="BQ59" s="181" t="e">
        <f>IF(B59&lt;&gt;"",VLOOKUP(B59,'[9]IRR MES'!$C$5:$AK$600,33),"")</f>
        <v>#REF!</v>
      </c>
      <c r="BR59" s="181" t="e">
        <f t="shared" si="54"/>
        <v>#REF!</v>
      </c>
      <c r="BS59" s="181" t="e">
        <f>IF(B59&lt;&gt;"",VLOOKUP(B59,'[9]IRR MES'!$C$5:$AK$600,34),"")</f>
        <v>#REF!</v>
      </c>
      <c r="BT59" s="248" t="e">
        <f>IF(B59&lt;&gt;"",VLOOKUP(B59,'[9]IRR MES'!$C$1:$AK$600,4),"")</f>
        <v>#REF!</v>
      </c>
      <c r="BU59" s="248" t="e">
        <f>IF(B59&lt;&gt;"",VLOOKUP(B59,'[9]IRR MES'!$C$1:$AK$600,7),"")</f>
        <v>#REF!</v>
      </c>
      <c r="BV59" s="248" t="e">
        <f>IF(B59&lt;&gt;"",VLOOKUP(B59,'[9]IRR MES'!$C$1:$AK$600,10),"")</f>
        <v>#REF!</v>
      </c>
      <c r="BW59" s="248" t="e">
        <f>IF(B59&lt;&gt;"",VLOOKUP(B59,'[9]IRR MES'!$C$1:$AK$600,13),"")</f>
        <v>#REF!</v>
      </c>
      <c r="BX59" s="248" t="e">
        <f>IF(B59&lt;&gt;"",VLOOKUP(B59,'[9]IRR MES'!$C$1:$AK$600,16),"")</f>
        <v>#REF!</v>
      </c>
      <c r="BY59" s="248" t="e">
        <f>IF(B59&lt;&gt;"",VLOOKUP(B59,'[9]IRR MES'!$C$1:$AK$600,19),"")</f>
        <v>#REF!</v>
      </c>
      <c r="BZ59" s="248" t="e">
        <f>IF(B59&lt;&gt;"",VLOOKUP(B59,'[9]IRR MES'!$C$1:$AK$600,22),"")</f>
        <v>#REF!</v>
      </c>
      <c r="CA59" s="248" t="e">
        <f>IF(B59&lt;&gt;"",VLOOKUP(B59,'[9]IRR MES'!$C$1:$AK$600,25),"")</f>
        <v>#REF!</v>
      </c>
      <c r="CB59" s="248" t="e">
        <f>IF(B59&lt;&gt;"",VLOOKUP(B59,'[9]IRR MES'!$C$1:$AK$600,28),"")</f>
        <v>#REF!</v>
      </c>
      <c r="CC59" s="248" t="e">
        <f>IF(B59&lt;&gt;"",VLOOKUP(B59,'[9]IRR MES'!$C$1:$AK$600,31),"")</f>
        <v>#REF!</v>
      </c>
      <c r="CD59" s="249" t="e">
        <f>#REF!</f>
        <v>#REF!</v>
      </c>
    </row>
    <row r="60" spans="1:82" x14ac:dyDescent="0.2">
      <c r="A60" s="10" t="e">
        <f t="shared" si="29"/>
        <v>#REF!</v>
      </c>
      <c r="B60" s="50" t="e">
        <f>#REF!</f>
        <v>#REF!</v>
      </c>
      <c r="C60" s="38">
        <f>'LEVANTAMENTO DADOS'!B58</f>
        <v>5557.4</v>
      </c>
      <c r="D60" s="63" t="e">
        <f>'BASE DE CALCULO IR'!W60</f>
        <v>#REF!</v>
      </c>
      <c r="E60" s="63"/>
      <c r="F60" s="60"/>
      <c r="G60" s="63"/>
      <c r="H60" s="63"/>
      <c r="I60" s="63"/>
      <c r="J60" s="63"/>
      <c r="K60" s="61"/>
      <c r="L60" s="61"/>
      <c r="M60" s="61"/>
      <c r="N60" s="60"/>
      <c r="O60" s="60"/>
      <c r="P60" s="60"/>
      <c r="Q60" s="62"/>
      <c r="R60" s="62" t="e">
        <f t="shared" si="30"/>
        <v>#REF!</v>
      </c>
      <c r="S60" s="63" t="e">
        <f t="shared" si="31"/>
        <v>#REF!</v>
      </c>
      <c r="T60" s="250"/>
      <c r="U60" s="63" t="e">
        <f t="shared" si="32"/>
        <v>#REF!</v>
      </c>
      <c r="V60" s="63" t="e">
        <f>#REF!</f>
        <v>#REF!</v>
      </c>
      <c r="W60" s="63" t="e">
        <f t="shared" si="33"/>
        <v>#REF!</v>
      </c>
      <c r="X60" s="242" t="e">
        <f t="shared" si="34"/>
        <v>#REF!</v>
      </c>
      <c r="Y60" s="34" t="e">
        <f t="shared" si="28"/>
        <v>#REF!</v>
      </c>
      <c r="Z60" s="34" t="e">
        <f t="shared" si="35"/>
        <v>#REF!</v>
      </c>
      <c r="AA60" s="176" t="e">
        <f t="shared" si="36"/>
        <v>#REF!</v>
      </c>
      <c r="AB60" s="11" t="e">
        <f t="shared" si="37"/>
        <v>#REF!</v>
      </c>
      <c r="AC60" s="245" t="e">
        <f t="shared" si="38"/>
        <v>#REF!</v>
      </c>
      <c r="AD60" s="245" t="e">
        <f t="shared" si="39"/>
        <v>#REF!</v>
      </c>
      <c r="AE60" s="245"/>
      <c r="AF60" s="245" t="e">
        <f t="shared" si="40"/>
        <v>#REF!</v>
      </c>
      <c r="AG60" s="173" t="e">
        <f t="shared" si="41"/>
        <v>#REF!</v>
      </c>
      <c r="AH60" s="51" t="e">
        <f t="shared" si="42"/>
        <v>#REF!</v>
      </c>
      <c r="AI60" s="63" t="e">
        <f>IF(B60&lt;&gt;"",VLOOKUP(B60,'[9]IRR MES'!$C$15:$AK$600,32),"")</f>
        <v>#REF!</v>
      </c>
      <c r="AJ60" s="246" t="e">
        <f t="shared" si="43"/>
        <v>#REF!</v>
      </c>
      <c r="AK60" s="181" t="e">
        <f t="shared" si="44"/>
        <v>#REF!</v>
      </c>
      <c r="AL60" s="181" t="e">
        <f t="shared" si="45"/>
        <v>#REF!</v>
      </c>
      <c r="AM60" s="181" t="e">
        <f t="shared" si="46"/>
        <v>#REF!</v>
      </c>
      <c r="AN60" s="181" t="e">
        <f t="shared" si="47"/>
        <v>#REF!</v>
      </c>
      <c r="AO60" s="181" t="e">
        <f t="shared" si="48"/>
        <v>#REF!</v>
      </c>
      <c r="AP60" s="181" t="e">
        <f t="shared" si="49"/>
        <v>#REF!</v>
      </c>
      <c r="AQ60" s="181" t="e">
        <f t="shared" si="50"/>
        <v>#REF!</v>
      </c>
      <c r="AR60" s="181" t="e">
        <f t="shared" si="51"/>
        <v>#REF!</v>
      </c>
      <c r="AS60" s="181" t="e">
        <f t="shared" si="52"/>
        <v>#REF!</v>
      </c>
      <c r="AT60" s="181" t="e">
        <f t="shared" si="53"/>
        <v>#REF!</v>
      </c>
      <c r="AU60" s="181"/>
      <c r="AV60" s="63"/>
      <c r="AW60" s="181" t="e">
        <f>IF(B60&lt;&gt;"",VLOOKUP(B60,'[9]IRR MES'!$C$5:$AK$600,2),"")</f>
        <v>#REF!</v>
      </c>
      <c r="AX60" s="247" t="e">
        <f>IF(B60&lt;&gt;"",VLOOKUP(B60,'[9]IRR MES'!$C$5:$AK$600,3),"")</f>
        <v>#REF!</v>
      </c>
      <c r="AY60" s="181" t="e">
        <f>IF(B60&lt;&gt;"",VLOOKUP(B60,'[9]IRR MES'!$C$5:$AK$600,5),"")</f>
        <v>#REF!</v>
      </c>
      <c r="AZ60" s="247" t="e">
        <f>IF(B60&lt;&gt;"",VLOOKUP(B60,'[9]IRR MES'!$C$5:$AK$600,6),"")</f>
        <v>#REF!</v>
      </c>
      <c r="BA60" s="181" t="e">
        <f>IF(B60&lt;&gt;"",VLOOKUP(B60,'[9]IRR MES'!$C$5:$AK$600,8),"")</f>
        <v>#REF!</v>
      </c>
      <c r="BB60" s="247" t="e">
        <f>IF(B60&lt;&gt;"",VLOOKUP(B60,'[9]IRR MES'!$C$5:$AK$600,9),"")</f>
        <v>#REF!</v>
      </c>
      <c r="BC60" s="247" t="e">
        <f>IF(B60&lt;&gt;"",VLOOKUP(B60,'[9]IRR MES'!$C$5:$AK$600,12),"")</f>
        <v>#REF!</v>
      </c>
      <c r="BD60" s="181" t="e">
        <f>IF(B60&lt;&gt;"",VLOOKUP(B60,'[9]IRR MES'!$C$5:$AK$600,14),"")</f>
        <v>#REF!</v>
      </c>
      <c r="BE60" s="247" t="e">
        <f>IF(B60&lt;&gt;"",VLOOKUP(B60,'[9]IRR MES'!$C$5:$AK$600,15),"")</f>
        <v>#REF!</v>
      </c>
      <c r="BF60" s="181" t="e">
        <f>IF(B60&lt;&gt;"",VLOOKUP(B60,'[9]IRR MES'!$C$5:$AK$600,17),"")</f>
        <v>#REF!</v>
      </c>
      <c r="BG60" s="247" t="e">
        <f>IF(B60&lt;&gt;"",VLOOKUP(B60,'[9]IRR MES'!$C$5:$AK$600,18),"")</f>
        <v>#REF!</v>
      </c>
      <c r="BH60" s="181" t="e">
        <f>IF(B60&lt;&gt;"",VLOOKUP(B60,'[9]IRR MES'!$C$5:$AK$600,20),"")</f>
        <v>#REF!</v>
      </c>
      <c r="BI60" s="247" t="e">
        <f>IF(B60&lt;&gt;"",VLOOKUP(B60,'[9]IRR MES'!$C$5:$AK$600,21),"")</f>
        <v>#REF!</v>
      </c>
      <c r="BJ60" s="181" t="e">
        <f>IF(B60&lt;&gt;"",VLOOKUP(B60,'[9]IRR MES'!$C$5:$AK$600,23),"")</f>
        <v>#REF!</v>
      </c>
      <c r="BK60" s="247" t="e">
        <f>IF(B60&lt;&gt;"",VLOOKUP(B60,'[9]IRR MES'!$C$5:$AK$600,24),"")</f>
        <v>#REF!</v>
      </c>
      <c r="BL60" s="181" t="e">
        <f>IF(B60&lt;&gt;"",VLOOKUP(B60,'[9]IRR MES'!$C$5:$AK$600,26),"")</f>
        <v>#REF!</v>
      </c>
      <c r="BM60" s="247" t="e">
        <f>IF(B60&lt;&gt;"",VLOOKUP(B60,'[9]IRR MES'!$C$5:$AK$600,27),"")</f>
        <v>#REF!</v>
      </c>
      <c r="BN60" s="181" t="e">
        <f>IF(B60&lt;&gt;"",VLOOKUP(B60,'[9]IRR MES'!$C$5:$AK$600,29),"")</f>
        <v>#REF!</v>
      </c>
      <c r="BO60" s="247" t="e">
        <f>IF(B60&lt;&gt;"",VLOOKUP(B60,'[9]IRR MES'!$C$5:$AK$600,30),"")</f>
        <v>#REF!</v>
      </c>
      <c r="BP60" s="181" t="e">
        <f>IF(B60&lt;&gt;"",VLOOKUP(B60,'[9]IRR MES'!$C$5:$AK$600,32),"")</f>
        <v>#REF!</v>
      </c>
      <c r="BQ60" s="181" t="e">
        <f>IF(B60&lt;&gt;"",VLOOKUP(B60,'[9]IRR MES'!$C$5:$AK$600,33),"")</f>
        <v>#REF!</v>
      </c>
      <c r="BR60" s="181" t="e">
        <f t="shared" si="54"/>
        <v>#REF!</v>
      </c>
      <c r="BS60" s="181" t="e">
        <f>IF(B60&lt;&gt;"",VLOOKUP(B60,'[9]IRR MES'!$C$5:$AK$600,34),"")</f>
        <v>#REF!</v>
      </c>
      <c r="BT60" s="248" t="e">
        <f>IF(B60&lt;&gt;"",VLOOKUP(B60,'[9]IRR MES'!$C$1:$AK$600,4),"")</f>
        <v>#REF!</v>
      </c>
      <c r="BU60" s="248" t="e">
        <f>IF(B60&lt;&gt;"",VLOOKUP(B60,'[9]IRR MES'!$C$1:$AK$600,7),"")</f>
        <v>#REF!</v>
      </c>
      <c r="BV60" s="248" t="e">
        <f>IF(B60&lt;&gt;"",VLOOKUP(B60,'[9]IRR MES'!$C$1:$AK$600,10),"")</f>
        <v>#REF!</v>
      </c>
      <c r="BW60" s="248" t="e">
        <f>IF(B60&lt;&gt;"",VLOOKUP(B60,'[9]IRR MES'!$C$1:$AK$600,13),"")</f>
        <v>#REF!</v>
      </c>
      <c r="BX60" s="248" t="e">
        <f>IF(B60&lt;&gt;"",VLOOKUP(B60,'[9]IRR MES'!$C$1:$AK$600,16),"")</f>
        <v>#REF!</v>
      </c>
      <c r="BY60" s="248" t="e">
        <f>IF(B60&lt;&gt;"",VLOOKUP(B60,'[9]IRR MES'!$C$1:$AK$600,19),"")</f>
        <v>#REF!</v>
      </c>
      <c r="BZ60" s="248" t="e">
        <f>IF(B60&lt;&gt;"",VLOOKUP(B60,'[9]IRR MES'!$C$1:$AK$600,22),"")</f>
        <v>#REF!</v>
      </c>
      <c r="CA60" s="248" t="e">
        <f>IF(B60&lt;&gt;"",VLOOKUP(B60,'[9]IRR MES'!$C$1:$AK$600,25),"")</f>
        <v>#REF!</v>
      </c>
      <c r="CB60" s="248" t="e">
        <f>IF(B60&lt;&gt;"",VLOOKUP(B60,'[9]IRR MES'!$C$1:$AK$600,28),"")</f>
        <v>#REF!</v>
      </c>
      <c r="CC60" s="248" t="e">
        <f>IF(B60&lt;&gt;"",VLOOKUP(B60,'[9]IRR MES'!$C$1:$AK$600,31),"")</f>
        <v>#REF!</v>
      </c>
      <c r="CD60" s="249" t="e">
        <f>#REF!</f>
        <v>#REF!</v>
      </c>
    </row>
    <row r="61" spans="1:82" x14ac:dyDescent="0.2">
      <c r="A61" s="10" t="e">
        <f t="shared" si="29"/>
        <v>#REF!</v>
      </c>
      <c r="B61" s="50" t="e">
        <f>#REF!</f>
        <v>#REF!</v>
      </c>
      <c r="C61" s="38">
        <f>'LEVANTAMENTO DADOS'!B59</f>
        <v>9335.7800000000007</v>
      </c>
      <c r="D61" s="63" t="e">
        <f>'BASE DE CALCULO IR'!W61</f>
        <v>#REF!</v>
      </c>
      <c r="E61" s="63"/>
      <c r="F61" s="60"/>
      <c r="G61" s="63"/>
      <c r="H61" s="63"/>
      <c r="I61" s="63"/>
      <c r="J61" s="63"/>
      <c r="K61" s="61"/>
      <c r="L61" s="61"/>
      <c r="M61" s="61"/>
      <c r="N61" s="60"/>
      <c r="O61" s="60"/>
      <c r="P61" s="60"/>
      <c r="Q61" s="62"/>
      <c r="R61" s="62" t="e">
        <f t="shared" si="30"/>
        <v>#REF!</v>
      </c>
      <c r="S61" s="63" t="e">
        <f t="shared" si="31"/>
        <v>#REF!</v>
      </c>
      <c r="T61" s="250"/>
      <c r="U61" s="63" t="e">
        <f t="shared" si="32"/>
        <v>#REF!</v>
      </c>
      <c r="V61" s="63" t="e">
        <f>#REF!</f>
        <v>#REF!</v>
      </c>
      <c r="W61" s="63" t="e">
        <f t="shared" si="33"/>
        <v>#REF!</v>
      </c>
      <c r="X61" s="242" t="e">
        <f t="shared" si="34"/>
        <v>#REF!</v>
      </c>
      <c r="Y61" s="34" t="e">
        <f t="shared" si="28"/>
        <v>#REF!</v>
      </c>
      <c r="Z61" s="34" t="e">
        <f t="shared" si="35"/>
        <v>#REF!</v>
      </c>
      <c r="AA61" s="176" t="e">
        <f t="shared" si="36"/>
        <v>#REF!</v>
      </c>
      <c r="AB61" s="11" t="e">
        <f t="shared" si="37"/>
        <v>#REF!</v>
      </c>
      <c r="AC61" s="245" t="e">
        <f t="shared" si="38"/>
        <v>#REF!</v>
      </c>
      <c r="AD61" s="245" t="e">
        <f t="shared" si="39"/>
        <v>#REF!</v>
      </c>
      <c r="AE61" s="245"/>
      <c r="AF61" s="245" t="e">
        <f t="shared" si="40"/>
        <v>#REF!</v>
      </c>
      <c r="AG61" s="173" t="e">
        <f t="shared" si="41"/>
        <v>#REF!</v>
      </c>
      <c r="AH61" s="51" t="e">
        <f t="shared" si="42"/>
        <v>#REF!</v>
      </c>
      <c r="AI61" s="63" t="e">
        <f>IF(B61&lt;&gt;"",VLOOKUP(B61,'[9]IRR MES'!$C$15:$AK$600,32),"")</f>
        <v>#REF!</v>
      </c>
      <c r="AJ61" s="246" t="e">
        <f t="shared" si="43"/>
        <v>#REF!</v>
      </c>
      <c r="AK61" s="181" t="e">
        <f t="shared" si="44"/>
        <v>#REF!</v>
      </c>
      <c r="AL61" s="181" t="e">
        <f t="shared" si="45"/>
        <v>#REF!</v>
      </c>
      <c r="AM61" s="181" t="e">
        <f t="shared" si="46"/>
        <v>#REF!</v>
      </c>
      <c r="AN61" s="181" t="e">
        <f t="shared" si="47"/>
        <v>#REF!</v>
      </c>
      <c r="AO61" s="181" t="e">
        <f t="shared" si="48"/>
        <v>#REF!</v>
      </c>
      <c r="AP61" s="181" t="e">
        <f t="shared" si="49"/>
        <v>#REF!</v>
      </c>
      <c r="AQ61" s="181" t="e">
        <f t="shared" si="50"/>
        <v>#REF!</v>
      </c>
      <c r="AR61" s="181" t="e">
        <f t="shared" si="51"/>
        <v>#REF!</v>
      </c>
      <c r="AS61" s="181" t="e">
        <f t="shared" si="52"/>
        <v>#REF!</v>
      </c>
      <c r="AT61" s="181" t="e">
        <f t="shared" si="53"/>
        <v>#REF!</v>
      </c>
      <c r="AU61" s="181"/>
      <c r="AV61" s="63"/>
      <c r="AW61" s="181" t="e">
        <f>IF(B61&lt;&gt;"",VLOOKUP(B61,'[9]IRR MES'!$C$5:$AK$600,2),"")</f>
        <v>#REF!</v>
      </c>
      <c r="AX61" s="247" t="e">
        <f>IF(B61&lt;&gt;"",VLOOKUP(B61,'[9]IRR MES'!$C$5:$AK$600,3),"")</f>
        <v>#REF!</v>
      </c>
      <c r="AY61" s="181" t="e">
        <f>IF(B61&lt;&gt;"",VLOOKUP(B61,'[9]IRR MES'!$C$5:$AK$600,5),"")</f>
        <v>#REF!</v>
      </c>
      <c r="AZ61" s="247" t="e">
        <f>IF(B61&lt;&gt;"",VLOOKUP(B61,'[9]IRR MES'!$C$5:$AK$600,6),"")</f>
        <v>#REF!</v>
      </c>
      <c r="BA61" s="181" t="e">
        <f>IF(B61&lt;&gt;"",VLOOKUP(B61,'[9]IRR MES'!$C$5:$AK$600,8),"")</f>
        <v>#REF!</v>
      </c>
      <c r="BB61" s="247" t="e">
        <f>IF(B61&lt;&gt;"",VLOOKUP(B61,'[9]IRR MES'!$C$5:$AK$600,9),"")</f>
        <v>#REF!</v>
      </c>
      <c r="BC61" s="247" t="e">
        <f>IF(B61&lt;&gt;"",VLOOKUP(B61,'[9]IRR MES'!$C$5:$AK$600,12),"")</f>
        <v>#REF!</v>
      </c>
      <c r="BD61" s="181" t="e">
        <f>IF(B61&lt;&gt;"",VLOOKUP(B61,'[9]IRR MES'!$C$5:$AK$600,14),"")</f>
        <v>#REF!</v>
      </c>
      <c r="BE61" s="247" t="e">
        <f>IF(B61&lt;&gt;"",VLOOKUP(B61,'[9]IRR MES'!$C$5:$AK$600,15),"")</f>
        <v>#REF!</v>
      </c>
      <c r="BF61" s="181" t="e">
        <f>IF(B61&lt;&gt;"",VLOOKUP(B61,'[9]IRR MES'!$C$5:$AK$600,17),"")</f>
        <v>#REF!</v>
      </c>
      <c r="BG61" s="247" t="e">
        <f>IF(B61&lt;&gt;"",VLOOKUP(B61,'[9]IRR MES'!$C$5:$AK$600,18),"")</f>
        <v>#REF!</v>
      </c>
      <c r="BH61" s="181" t="e">
        <f>IF(B61&lt;&gt;"",VLOOKUP(B61,'[9]IRR MES'!$C$5:$AK$600,20),"")</f>
        <v>#REF!</v>
      </c>
      <c r="BI61" s="247" t="e">
        <f>IF(B61&lt;&gt;"",VLOOKUP(B61,'[9]IRR MES'!$C$5:$AK$600,21),"")</f>
        <v>#REF!</v>
      </c>
      <c r="BJ61" s="181" t="e">
        <f>IF(B61&lt;&gt;"",VLOOKUP(B61,'[9]IRR MES'!$C$5:$AK$600,23),"")</f>
        <v>#REF!</v>
      </c>
      <c r="BK61" s="247" t="e">
        <f>IF(B61&lt;&gt;"",VLOOKUP(B61,'[9]IRR MES'!$C$5:$AK$600,24),"")</f>
        <v>#REF!</v>
      </c>
      <c r="BL61" s="181" t="e">
        <f>IF(B61&lt;&gt;"",VLOOKUP(B61,'[9]IRR MES'!$C$5:$AK$600,26),"")</f>
        <v>#REF!</v>
      </c>
      <c r="BM61" s="247" t="e">
        <f>IF(B61&lt;&gt;"",VLOOKUP(B61,'[9]IRR MES'!$C$5:$AK$600,27),"")</f>
        <v>#REF!</v>
      </c>
      <c r="BN61" s="181" t="e">
        <f>IF(B61&lt;&gt;"",VLOOKUP(B61,'[9]IRR MES'!$C$5:$AK$600,29),"")</f>
        <v>#REF!</v>
      </c>
      <c r="BO61" s="247" t="e">
        <f>IF(B61&lt;&gt;"",VLOOKUP(B61,'[9]IRR MES'!$C$5:$AK$600,30),"")</f>
        <v>#REF!</v>
      </c>
      <c r="BP61" s="181" t="e">
        <f>IF(B61&lt;&gt;"",VLOOKUP(B61,'[9]IRR MES'!$C$5:$AK$600,32),"")</f>
        <v>#REF!</v>
      </c>
      <c r="BQ61" s="181" t="e">
        <f>IF(B61&lt;&gt;"",VLOOKUP(B61,'[9]IRR MES'!$C$5:$AK$600,33),"")</f>
        <v>#REF!</v>
      </c>
      <c r="BR61" s="181" t="e">
        <f t="shared" si="54"/>
        <v>#REF!</v>
      </c>
      <c r="BS61" s="181" t="e">
        <f>IF(B61&lt;&gt;"",VLOOKUP(B61,'[9]IRR MES'!$C$5:$AK$600,34),"")</f>
        <v>#REF!</v>
      </c>
      <c r="BT61" s="248" t="e">
        <f>IF(B61&lt;&gt;"",VLOOKUP(B61,'[9]IRR MES'!$C$1:$AK$600,4),"")</f>
        <v>#REF!</v>
      </c>
      <c r="BU61" s="248" t="e">
        <f>IF(B61&lt;&gt;"",VLOOKUP(B61,'[9]IRR MES'!$C$1:$AK$600,7),"")</f>
        <v>#REF!</v>
      </c>
      <c r="BV61" s="248" t="e">
        <f>IF(B61&lt;&gt;"",VLOOKUP(B61,'[9]IRR MES'!$C$1:$AK$600,10),"")</f>
        <v>#REF!</v>
      </c>
      <c r="BW61" s="248" t="e">
        <f>IF(B61&lt;&gt;"",VLOOKUP(B61,'[9]IRR MES'!$C$1:$AK$600,13),"")</f>
        <v>#REF!</v>
      </c>
      <c r="BX61" s="248" t="e">
        <f>IF(B61&lt;&gt;"",VLOOKUP(B61,'[9]IRR MES'!$C$1:$AK$600,16),"")</f>
        <v>#REF!</v>
      </c>
      <c r="BY61" s="248" t="e">
        <f>IF(B61&lt;&gt;"",VLOOKUP(B61,'[9]IRR MES'!$C$1:$AK$600,19),"")</f>
        <v>#REF!</v>
      </c>
      <c r="BZ61" s="248" t="e">
        <f>IF(B61&lt;&gt;"",VLOOKUP(B61,'[9]IRR MES'!$C$1:$AK$600,22),"")</f>
        <v>#REF!</v>
      </c>
      <c r="CA61" s="248" t="e">
        <f>IF(B61&lt;&gt;"",VLOOKUP(B61,'[9]IRR MES'!$C$1:$AK$600,25),"")</f>
        <v>#REF!</v>
      </c>
      <c r="CB61" s="248" t="e">
        <f>IF(B61&lt;&gt;"",VLOOKUP(B61,'[9]IRR MES'!$C$1:$AK$600,28),"")</f>
        <v>#REF!</v>
      </c>
      <c r="CC61" s="248" t="e">
        <f>IF(B61&lt;&gt;"",VLOOKUP(B61,'[9]IRR MES'!$C$1:$AK$600,31),"")</f>
        <v>#REF!</v>
      </c>
      <c r="CD61" s="249" t="e">
        <f>#REF!</f>
        <v>#REF!</v>
      </c>
    </row>
    <row r="62" spans="1:82" x14ac:dyDescent="0.2">
      <c r="A62" s="10" t="e">
        <f t="shared" si="29"/>
        <v>#REF!</v>
      </c>
      <c r="B62" s="50" t="e">
        <f>#REF!</f>
        <v>#REF!</v>
      </c>
      <c r="C62" s="38">
        <f>'LEVANTAMENTO DADOS'!B60</f>
        <v>4560.0600000000004</v>
      </c>
      <c r="D62" s="63" t="e">
        <f>'BASE DE CALCULO IR'!W62</f>
        <v>#REF!</v>
      </c>
      <c r="E62" s="63"/>
      <c r="F62" s="60"/>
      <c r="G62" s="63"/>
      <c r="H62" s="63"/>
      <c r="I62" s="63"/>
      <c r="J62" s="63"/>
      <c r="K62" s="61"/>
      <c r="L62" s="61"/>
      <c r="M62" s="61"/>
      <c r="N62" s="60"/>
      <c r="O62" s="60"/>
      <c r="P62" s="60"/>
      <c r="Q62" s="62"/>
      <c r="R62" s="62" t="e">
        <f t="shared" si="30"/>
        <v>#REF!</v>
      </c>
      <c r="S62" s="63" t="e">
        <f t="shared" si="31"/>
        <v>#REF!</v>
      </c>
      <c r="T62" s="250"/>
      <c r="U62" s="63" t="e">
        <f t="shared" si="32"/>
        <v>#REF!</v>
      </c>
      <c r="V62" s="63" t="e">
        <f>#REF!</f>
        <v>#REF!</v>
      </c>
      <c r="W62" s="63" t="e">
        <f t="shared" si="33"/>
        <v>#REF!</v>
      </c>
      <c r="X62" s="242" t="e">
        <f t="shared" si="34"/>
        <v>#REF!</v>
      </c>
      <c r="Y62" s="34" t="e">
        <f t="shared" si="28"/>
        <v>#REF!</v>
      </c>
      <c r="Z62" s="34" t="e">
        <f t="shared" si="35"/>
        <v>#REF!</v>
      </c>
      <c r="AA62" s="176" t="e">
        <f t="shared" si="36"/>
        <v>#REF!</v>
      </c>
      <c r="AB62" s="11" t="e">
        <f t="shared" si="37"/>
        <v>#REF!</v>
      </c>
      <c r="AC62" s="245" t="e">
        <f t="shared" si="38"/>
        <v>#REF!</v>
      </c>
      <c r="AD62" s="245" t="e">
        <f t="shared" si="39"/>
        <v>#REF!</v>
      </c>
      <c r="AE62" s="245"/>
      <c r="AF62" s="245" t="e">
        <f t="shared" si="40"/>
        <v>#REF!</v>
      </c>
      <c r="AG62" s="173" t="e">
        <f t="shared" si="41"/>
        <v>#REF!</v>
      </c>
      <c r="AH62" s="51" t="e">
        <f t="shared" si="42"/>
        <v>#REF!</v>
      </c>
      <c r="AI62" s="63" t="e">
        <f>IF(B62&lt;&gt;"",VLOOKUP(B62,'[9]IRR MES'!$C$15:$AK$600,32),"")</f>
        <v>#REF!</v>
      </c>
      <c r="AJ62" s="246" t="e">
        <f t="shared" si="43"/>
        <v>#REF!</v>
      </c>
      <c r="AK62" s="181" t="e">
        <f t="shared" si="44"/>
        <v>#REF!</v>
      </c>
      <c r="AL62" s="181" t="e">
        <f t="shared" si="45"/>
        <v>#REF!</v>
      </c>
      <c r="AM62" s="181" t="e">
        <f t="shared" si="46"/>
        <v>#REF!</v>
      </c>
      <c r="AN62" s="181" t="e">
        <f t="shared" si="47"/>
        <v>#REF!</v>
      </c>
      <c r="AO62" s="181" t="e">
        <f t="shared" si="48"/>
        <v>#REF!</v>
      </c>
      <c r="AP62" s="181" t="e">
        <f t="shared" si="49"/>
        <v>#REF!</v>
      </c>
      <c r="AQ62" s="181" t="e">
        <f t="shared" si="50"/>
        <v>#REF!</v>
      </c>
      <c r="AR62" s="181" t="e">
        <f t="shared" si="51"/>
        <v>#REF!</v>
      </c>
      <c r="AS62" s="181" t="e">
        <f t="shared" si="52"/>
        <v>#REF!</v>
      </c>
      <c r="AT62" s="181" t="e">
        <f t="shared" si="53"/>
        <v>#REF!</v>
      </c>
      <c r="AU62" s="181"/>
      <c r="AV62" s="63"/>
      <c r="AW62" s="181" t="e">
        <f>IF(B62&lt;&gt;"",VLOOKUP(B62,'[9]IRR MES'!$C$5:$AK$600,2),"")</f>
        <v>#REF!</v>
      </c>
      <c r="AX62" s="247" t="e">
        <f>IF(B62&lt;&gt;"",VLOOKUP(B62,'[9]IRR MES'!$C$5:$AK$600,3),"")</f>
        <v>#REF!</v>
      </c>
      <c r="AY62" s="181" t="e">
        <f>IF(B62&lt;&gt;"",VLOOKUP(B62,'[9]IRR MES'!$C$5:$AK$600,5),"")</f>
        <v>#REF!</v>
      </c>
      <c r="AZ62" s="247" t="e">
        <f>IF(B62&lt;&gt;"",VLOOKUP(B62,'[9]IRR MES'!$C$5:$AK$600,6),"")</f>
        <v>#REF!</v>
      </c>
      <c r="BA62" s="181" t="e">
        <f>IF(B62&lt;&gt;"",VLOOKUP(B62,'[9]IRR MES'!$C$5:$AK$600,8),"")</f>
        <v>#REF!</v>
      </c>
      <c r="BB62" s="247" t="e">
        <f>IF(B62&lt;&gt;"",VLOOKUP(B62,'[9]IRR MES'!$C$5:$AK$600,9),"")</f>
        <v>#REF!</v>
      </c>
      <c r="BC62" s="247" t="e">
        <f>IF(B62&lt;&gt;"",VLOOKUP(B62,'[9]IRR MES'!$C$5:$AK$600,12),"")</f>
        <v>#REF!</v>
      </c>
      <c r="BD62" s="181" t="e">
        <f>IF(B62&lt;&gt;"",VLOOKUP(B62,'[9]IRR MES'!$C$5:$AK$600,14),"")</f>
        <v>#REF!</v>
      </c>
      <c r="BE62" s="247" t="e">
        <f>IF(B62&lt;&gt;"",VLOOKUP(B62,'[9]IRR MES'!$C$5:$AK$600,15),"")</f>
        <v>#REF!</v>
      </c>
      <c r="BF62" s="181" t="e">
        <f>IF(B62&lt;&gt;"",VLOOKUP(B62,'[9]IRR MES'!$C$5:$AK$600,17),"")</f>
        <v>#REF!</v>
      </c>
      <c r="BG62" s="247" t="e">
        <f>IF(B62&lt;&gt;"",VLOOKUP(B62,'[9]IRR MES'!$C$5:$AK$600,18),"")</f>
        <v>#REF!</v>
      </c>
      <c r="BH62" s="181" t="e">
        <f>IF(B62&lt;&gt;"",VLOOKUP(B62,'[9]IRR MES'!$C$5:$AK$600,20),"")</f>
        <v>#REF!</v>
      </c>
      <c r="BI62" s="247" t="e">
        <f>IF(B62&lt;&gt;"",VLOOKUP(B62,'[9]IRR MES'!$C$5:$AK$600,21),"")</f>
        <v>#REF!</v>
      </c>
      <c r="BJ62" s="181" t="e">
        <f>IF(B62&lt;&gt;"",VLOOKUP(B62,'[9]IRR MES'!$C$5:$AK$600,23),"")</f>
        <v>#REF!</v>
      </c>
      <c r="BK62" s="247" t="e">
        <f>IF(B62&lt;&gt;"",VLOOKUP(B62,'[9]IRR MES'!$C$5:$AK$600,24),"")</f>
        <v>#REF!</v>
      </c>
      <c r="BL62" s="181" t="e">
        <f>IF(B62&lt;&gt;"",VLOOKUP(B62,'[9]IRR MES'!$C$5:$AK$600,26),"")</f>
        <v>#REF!</v>
      </c>
      <c r="BM62" s="247" t="e">
        <f>IF(B62&lt;&gt;"",VLOOKUP(B62,'[9]IRR MES'!$C$5:$AK$600,27),"")</f>
        <v>#REF!</v>
      </c>
      <c r="BN62" s="181" t="e">
        <f>IF(B62&lt;&gt;"",VLOOKUP(B62,'[9]IRR MES'!$C$5:$AK$600,29),"")</f>
        <v>#REF!</v>
      </c>
      <c r="BO62" s="247" t="e">
        <f>IF(B62&lt;&gt;"",VLOOKUP(B62,'[9]IRR MES'!$C$5:$AK$600,30),"")</f>
        <v>#REF!</v>
      </c>
      <c r="BP62" s="181" t="e">
        <f>IF(B62&lt;&gt;"",VLOOKUP(B62,'[9]IRR MES'!$C$5:$AK$600,32),"")</f>
        <v>#REF!</v>
      </c>
      <c r="BQ62" s="181" t="e">
        <f>IF(B62&lt;&gt;"",VLOOKUP(B62,'[9]IRR MES'!$C$5:$AK$600,33),"")</f>
        <v>#REF!</v>
      </c>
      <c r="BR62" s="181" t="e">
        <f t="shared" si="54"/>
        <v>#REF!</v>
      </c>
      <c r="BS62" s="181" t="e">
        <f>IF(B62&lt;&gt;"",VLOOKUP(B62,'[9]IRR MES'!$C$5:$AK$600,34),"")</f>
        <v>#REF!</v>
      </c>
      <c r="BT62" s="248" t="e">
        <f>IF(B62&lt;&gt;"",VLOOKUP(B62,'[9]IRR MES'!$C$1:$AK$600,4),"")</f>
        <v>#REF!</v>
      </c>
      <c r="BU62" s="248" t="e">
        <f>IF(B62&lt;&gt;"",VLOOKUP(B62,'[9]IRR MES'!$C$1:$AK$600,7),"")</f>
        <v>#REF!</v>
      </c>
      <c r="BV62" s="248" t="e">
        <f>IF(B62&lt;&gt;"",VLOOKUP(B62,'[9]IRR MES'!$C$1:$AK$600,10),"")</f>
        <v>#REF!</v>
      </c>
      <c r="BW62" s="248" t="e">
        <f>IF(B62&lt;&gt;"",VLOOKUP(B62,'[9]IRR MES'!$C$1:$AK$600,13),"")</f>
        <v>#REF!</v>
      </c>
      <c r="BX62" s="248" t="e">
        <f>IF(B62&lt;&gt;"",VLOOKUP(B62,'[9]IRR MES'!$C$1:$AK$600,16),"")</f>
        <v>#REF!</v>
      </c>
      <c r="BY62" s="248" t="e">
        <f>IF(B62&lt;&gt;"",VLOOKUP(B62,'[9]IRR MES'!$C$1:$AK$600,19),"")</f>
        <v>#REF!</v>
      </c>
      <c r="BZ62" s="248" t="e">
        <f>IF(B62&lt;&gt;"",VLOOKUP(B62,'[9]IRR MES'!$C$1:$AK$600,22),"")</f>
        <v>#REF!</v>
      </c>
      <c r="CA62" s="248" t="e">
        <f>IF(B62&lt;&gt;"",VLOOKUP(B62,'[9]IRR MES'!$C$1:$AK$600,25),"")</f>
        <v>#REF!</v>
      </c>
      <c r="CB62" s="248" t="e">
        <f>IF(B62&lt;&gt;"",VLOOKUP(B62,'[9]IRR MES'!$C$1:$AK$600,28),"")</f>
        <v>#REF!</v>
      </c>
      <c r="CC62" s="248" t="e">
        <f>IF(B62&lt;&gt;"",VLOOKUP(B62,'[9]IRR MES'!$C$1:$AK$600,31),"")</f>
        <v>#REF!</v>
      </c>
      <c r="CD62" s="249" t="e">
        <f>#REF!</f>
        <v>#REF!</v>
      </c>
    </row>
    <row r="63" spans="1:82" x14ac:dyDescent="0.2">
      <c r="A63" s="10" t="e">
        <f t="shared" si="29"/>
        <v>#REF!</v>
      </c>
      <c r="B63" s="50" t="e">
        <f>#REF!</f>
        <v>#REF!</v>
      </c>
      <c r="C63" s="38">
        <f>'LEVANTAMENTO DADOS'!B61</f>
        <v>5657.12</v>
      </c>
      <c r="D63" s="63" t="e">
        <f>'BASE DE CALCULO IR'!W63</f>
        <v>#REF!</v>
      </c>
      <c r="E63" s="63"/>
      <c r="F63" s="60"/>
      <c r="G63" s="63"/>
      <c r="H63" s="63"/>
      <c r="I63" s="63"/>
      <c r="J63" s="63"/>
      <c r="K63" s="61"/>
      <c r="L63" s="61"/>
      <c r="M63" s="61"/>
      <c r="N63" s="60"/>
      <c r="O63" s="60"/>
      <c r="P63" s="60"/>
      <c r="Q63" s="62"/>
      <c r="R63" s="62" t="e">
        <f t="shared" si="30"/>
        <v>#REF!</v>
      </c>
      <c r="S63" s="63" t="e">
        <f t="shared" si="31"/>
        <v>#REF!</v>
      </c>
      <c r="T63" s="250"/>
      <c r="U63" s="63" t="e">
        <f t="shared" si="32"/>
        <v>#REF!</v>
      </c>
      <c r="V63" s="63" t="e">
        <f>#REF!</f>
        <v>#REF!</v>
      </c>
      <c r="W63" s="63" t="e">
        <f t="shared" si="33"/>
        <v>#REF!</v>
      </c>
      <c r="X63" s="242" t="e">
        <f t="shared" si="34"/>
        <v>#REF!</v>
      </c>
      <c r="Y63" s="34" t="e">
        <f t="shared" si="28"/>
        <v>#REF!</v>
      </c>
      <c r="Z63" s="34" t="e">
        <f t="shared" si="35"/>
        <v>#REF!</v>
      </c>
      <c r="AA63" s="176" t="e">
        <f t="shared" si="36"/>
        <v>#REF!</v>
      </c>
      <c r="AB63" s="11" t="e">
        <f t="shared" si="37"/>
        <v>#REF!</v>
      </c>
      <c r="AC63" s="245" t="e">
        <f t="shared" si="38"/>
        <v>#REF!</v>
      </c>
      <c r="AD63" s="245" t="e">
        <f t="shared" si="39"/>
        <v>#REF!</v>
      </c>
      <c r="AE63" s="245"/>
      <c r="AF63" s="245" t="e">
        <f t="shared" si="40"/>
        <v>#REF!</v>
      </c>
      <c r="AG63" s="173" t="e">
        <f t="shared" si="41"/>
        <v>#REF!</v>
      </c>
      <c r="AH63" s="51" t="e">
        <f t="shared" si="42"/>
        <v>#REF!</v>
      </c>
      <c r="AI63" s="63" t="e">
        <f>IF(B63&lt;&gt;"",VLOOKUP(B63,'[9]IRR MES'!$C$15:$AK$600,32),"")</f>
        <v>#REF!</v>
      </c>
      <c r="AJ63" s="246" t="e">
        <f t="shared" si="43"/>
        <v>#REF!</v>
      </c>
      <c r="AK63" s="181" t="e">
        <f t="shared" si="44"/>
        <v>#REF!</v>
      </c>
      <c r="AL63" s="181" t="e">
        <f t="shared" si="45"/>
        <v>#REF!</v>
      </c>
      <c r="AM63" s="181" t="e">
        <f t="shared" si="46"/>
        <v>#REF!</v>
      </c>
      <c r="AN63" s="181" t="e">
        <f t="shared" si="47"/>
        <v>#REF!</v>
      </c>
      <c r="AO63" s="181" t="e">
        <f t="shared" si="48"/>
        <v>#REF!</v>
      </c>
      <c r="AP63" s="181" t="e">
        <f t="shared" si="49"/>
        <v>#REF!</v>
      </c>
      <c r="AQ63" s="181" t="e">
        <f t="shared" si="50"/>
        <v>#REF!</v>
      </c>
      <c r="AR63" s="181" t="e">
        <f t="shared" si="51"/>
        <v>#REF!</v>
      </c>
      <c r="AS63" s="181" t="e">
        <f t="shared" si="52"/>
        <v>#REF!</v>
      </c>
      <c r="AT63" s="181" t="e">
        <f t="shared" si="53"/>
        <v>#REF!</v>
      </c>
      <c r="AU63" s="181"/>
      <c r="AV63" s="63"/>
      <c r="AW63" s="181" t="e">
        <f>IF(B63&lt;&gt;"",VLOOKUP(B63,'[9]IRR MES'!$C$5:$AK$600,2),"")</f>
        <v>#REF!</v>
      </c>
      <c r="AX63" s="247" t="e">
        <f>IF(B63&lt;&gt;"",VLOOKUP(B63,'[9]IRR MES'!$C$5:$AK$600,3),"")</f>
        <v>#REF!</v>
      </c>
      <c r="AY63" s="181" t="e">
        <f>IF(B63&lt;&gt;"",VLOOKUP(B63,'[9]IRR MES'!$C$5:$AK$600,5),"")</f>
        <v>#REF!</v>
      </c>
      <c r="AZ63" s="247" t="e">
        <f>IF(B63&lt;&gt;"",VLOOKUP(B63,'[9]IRR MES'!$C$5:$AK$600,6),"")</f>
        <v>#REF!</v>
      </c>
      <c r="BA63" s="181" t="e">
        <f>IF(B63&lt;&gt;"",VLOOKUP(B63,'[9]IRR MES'!$C$5:$AK$600,8),"")</f>
        <v>#REF!</v>
      </c>
      <c r="BB63" s="247" t="e">
        <f>IF(B63&lt;&gt;"",VLOOKUP(B63,'[9]IRR MES'!$C$5:$AK$600,9),"")</f>
        <v>#REF!</v>
      </c>
      <c r="BC63" s="247" t="e">
        <f>IF(B63&lt;&gt;"",VLOOKUP(B63,'[9]IRR MES'!$C$5:$AK$600,12),"")</f>
        <v>#REF!</v>
      </c>
      <c r="BD63" s="181" t="e">
        <f>IF(B63&lt;&gt;"",VLOOKUP(B63,'[9]IRR MES'!$C$5:$AK$600,14),"")</f>
        <v>#REF!</v>
      </c>
      <c r="BE63" s="247" t="e">
        <f>IF(B63&lt;&gt;"",VLOOKUP(B63,'[9]IRR MES'!$C$5:$AK$600,15),"")</f>
        <v>#REF!</v>
      </c>
      <c r="BF63" s="181" t="e">
        <f>IF(B63&lt;&gt;"",VLOOKUP(B63,'[9]IRR MES'!$C$5:$AK$600,17),"")</f>
        <v>#REF!</v>
      </c>
      <c r="BG63" s="247" t="e">
        <f>IF(B63&lt;&gt;"",VLOOKUP(B63,'[9]IRR MES'!$C$5:$AK$600,18),"")</f>
        <v>#REF!</v>
      </c>
      <c r="BH63" s="181" t="e">
        <f>IF(B63&lt;&gt;"",VLOOKUP(B63,'[9]IRR MES'!$C$5:$AK$600,20),"")</f>
        <v>#REF!</v>
      </c>
      <c r="BI63" s="247" t="e">
        <f>IF(B63&lt;&gt;"",VLOOKUP(B63,'[9]IRR MES'!$C$5:$AK$600,21),"")</f>
        <v>#REF!</v>
      </c>
      <c r="BJ63" s="181" t="e">
        <f>IF(B63&lt;&gt;"",VLOOKUP(B63,'[9]IRR MES'!$C$5:$AK$600,23),"")</f>
        <v>#REF!</v>
      </c>
      <c r="BK63" s="247" t="e">
        <f>IF(B63&lt;&gt;"",VLOOKUP(B63,'[9]IRR MES'!$C$5:$AK$600,24),"")</f>
        <v>#REF!</v>
      </c>
      <c r="BL63" s="181" t="e">
        <f>IF(B63&lt;&gt;"",VLOOKUP(B63,'[9]IRR MES'!$C$5:$AK$600,26),"")</f>
        <v>#REF!</v>
      </c>
      <c r="BM63" s="247" t="e">
        <f>IF(B63&lt;&gt;"",VLOOKUP(B63,'[9]IRR MES'!$C$5:$AK$600,27),"")</f>
        <v>#REF!</v>
      </c>
      <c r="BN63" s="181" t="e">
        <f>IF(B63&lt;&gt;"",VLOOKUP(B63,'[9]IRR MES'!$C$5:$AK$600,29),"")</f>
        <v>#REF!</v>
      </c>
      <c r="BO63" s="247" t="e">
        <f>IF(B63&lt;&gt;"",VLOOKUP(B63,'[9]IRR MES'!$C$5:$AK$600,30),"")</f>
        <v>#REF!</v>
      </c>
      <c r="BP63" s="181" t="e">
        <f>IF(B63&lt;&gt;"",VLOOKUP(B63,'[9]IRR MES'!$C$5:$AK$600,32),"")</f>
        <v>#REF!</v>
      </c>
      <c r="BQ63" s="181" t="e">
        <f>IF(B63&lt;&gt;"",VLOOKUP(B63,'[9]IRR MES'!$C$5:$AK$600,33),"")</f>
        <v>#REF!</v>
      </c>
      <c r="BR63" s="181" t="e">
        <f t="shared" si="54"/>
        <v>#REF!</v>
      </c>
      <c r="BS63" s="181" t="e">
        <f>IF(B63&lt;&gt;"",VLOOKUP(B63,'[9]IRR MES'!$C$5:$AK$600,34),"")</f>
        <v>#REF!</v>
      </c>
      <c r="BT63" s="248" t="e">
        <f>IF(B63&lt;&gt;"",VLOOKUP(B63,'[9]IRR MES'!$C$1:$AK$600,4),"")</f>
        <v>#REF!</v>
      </c>
      <c r="BU63" s="248" t="e">
        <f>IF(B63&lt;&gt;"",VLOOKUP(B63,'[9]IRR MES'!$C$1:$AK$600,7),"")</f>
        <v>#REF!</v>
      </c>
      <c r="BV63" s="248" t="e">
        <f>IF(B63&lt;&gt;"",VLOOKUP(B63,'[9]IRR MES'!$C$1:$AK$600,10),"")</f>
        <v>#REF!</v>
      </c>
      <c r="BW63" s="248" t="e">
        <f>IF(B63&lt;&gt;"",VLOOKUP(B63,'[9]IRR MES'!$C$1:$AK$600,13),"")</f>
        <v>#REF!</v>
      </c>
      <c r="BX63" s="248" t="e">
        <f>IF(B63&lt;&gt;"",VLOOKUP(B63,'[9]IRR MES'!$C$1:$AK$600,16),"")</f>
        <v>#REF!</v>
      </c>
      <c r="BY63" s="248" t="e">
        <f>IF(B63&lt;&gt;"",VLOOKUP(B63,'[9]IRR MES'!$C$1:$AK$600,19),"")</f>
        <v>#REF!</v>
      </c>
      <c r="BZ63" s="248" t="e">
        <f>IF(B63&lt;&gt;"",VLOOKUP(B63,'[9]IRR MES'!$C$1:$AK$600,22),"")</f>
        <v>#REF!</v>
      </c>
      <c r="CA63" s="248" t="e">
        <f>IF(B63&lt;&gt;"",VLOOKUP(B63,'[9]IRR MES'!$C$1:$AK$600,25),"")</f>
        <v>#REF!</v>
      </c>
      <c r="CB63" s="248" t="e">
        <f>IF(B63&lt;&gt;"",VLOOKUP(B63,'[9]IRR MES'!$C$1:$AK$600,28),"")</f>
        <v>#REF!</v>
      </c>
      <c r="CC63" s="248" t="e">
        <f>IF(B63&lt;&gt;"",VLOOKUP(B63,'[9]IRR MES'!$C$1:$AK$600,31),"")</f>
        <v>#REF!</v>
      </c>
      <c r="CD63" s="249" t="e">
        <f>#REF!</f>
        <v>#REF!</v>
      </c>
    </row>
    <row r="64" spans="1:82" x14ac:dyDescent="0.2">
      <c r="A64" s="10" t="e">
        <f t="shared" si="29"/>
        <v>#REF!</v>
      </c>
      <c r="B64" s="50" t="e">
        <f>#REF!</f>
        <v>#REF!</v>
      </c>
      <c r="C64" s="38">
        <f>'LEVANTAMENTO DADOS'!B62</f>
        <v>5450.85</v>
      </c>
      <c r="D64" s="63" t="e">
        <f>'BASE DE CALCULO IR'!W64</f>
        <v>#REF!</v>
      </c>
      <c r="E64" s="63"/>
      <c r="F64" s="60"/>
      <c r="G64" s="63"/>
      <c r="H64" s="63"/>
      <c r="I64" s="63"/>
      <c r="J64" s="63"/>
      <c r="K64" s="61"/>
      <c r="L64" s="61"/>
      <c r="M64" s="61"/>
      <c r="N64" s="60"/>
      <c r="O64" s="60"/>
      <c r="P64" s="60"/>
      <c r="Q64" s="62"/>
      <c r="R64" s="62" t="e">
        <f>SUM(C64:Q64)</f>
        <v>#REF!</v>
      </c>
      <c r="S64" s="63" t="e">
        <f>IF(C64&lt;&gt;"",C64+R64,R64)</f>
        <v>#REF!</v>
      </c>
      <c r="T64" s="250"/>
      <c r="U64" s="63" t="e">
        <f>IF(B64&lt;&gt;"",AI64*T64,"")</f>
        <v>#REF!</v>
      </c>
      <c r="V64" s="63" t="e">
        <f>#REF!</f>
        <v>#REF!</v>
      </c>
      <c r="W64" s="63" t="e">
        <f>IF(C64&lt;&gt;"",IF(AND(AE64&gt;0,R64&gt;0),S64-U64-V64,IF(AI64&lt;&gt;"",R64-U64-V64)),IF(C64="",IF(AI64&lt;&gt;"",R64-U64-V64)))</f>
        <v>#REF!</v>
      </c>
      <c r="X64" s="242" t="e">
        <f>SUM(D64:Q64)-U64-V64</f>
        <v>#REF!</v>
      </c>
      <c r="Y64" s="34" t="e">
        <f t="shared" si="28"/>
        <v>#REF!</v>
      </c>
      <c r="Z64" s="34" t="e">
        <f>X64</f>
        <v>#REF!</v>
      </c>
      <c r="AA64" s="176" t="e">
        <f>IF(B64&lt;&gt;"",IF(R64&gt;Y64,LOOKUP(R64,AW64:BO64,AW64:BS64),""),"")</f>
        <v>#REF!</v>
      </c>
      <c r="AB64" s="11" t="e">
        <f>IF(W64&gt;Y64,X64*AA64,0)</f>
        <v>#REF!</v>
      </c>
      <c r="AC64" s="245" t="e">
        <f>IF(B64&lt;&gt;"",MAX(AK64:AU64),"")</f>
        <v>#REF!</v>
      </c>
      <c r="AD64" s="245" t="e">
        <f>IF(AA64&lt;&gt;"",(X64*AA64)-AC64,"ISENTO")</f>
        <v>#REF!</v>
      </c>
      <c r="AE64" s="245"/>
      <c r="AF64" s="245" t="e">
        <f>IF(AD64&lt;&gt;"isento",AD64-AE64,0)</f>
        <v>#REF!</v>
      </c>
      <c r="AG64" s="173" t="e">
        <f>CD64</f>
        <v>#REF!</v>
      </c>
      <c r="AH64" s="51" t="e">
        <f>IF(AF64&gt;0,AF64*CD64,0)</f>
        <v>#REF!</v>
      </c>
      <c r="AI64" s="63" t="e">
        <f>IF(B64&lt;&gt;"",VLOOKUP(B64,'[9]IRR MES'!$C$15:$AK$600,32),"")</f>
        <v>#REF!</v>
      </c>
      <c r="AJ64" s="246" t="e">
        <f>B64</f>
        <v>#REF!</v>
      </c>
      <c r="AK64" s="181" t="e">
        <f>IF(B64&lt;&gt;"",IF(AA64=AX64,BT64,""),"")</f>
        <v>#REF!</v>
      </c>
      <c r="AL64" s="181" t="e">
        <f>IF(B64&lt;&gt;"",IF(AA64=AZ64,BU64,""),"")</f>
        <v>#REF!</v>
      </c>
      <c r="AM64" s="181" t="e">
        <f>IF(B64&lt;&gt;"",IF(AA64=BB64,BV64,""),"")</f>
        <v>#REF!</v>
      </c>
      <c r="AN64" s="181" t="e">
        <f>IF(B64&lt;&gt;"",IF(AA64=BC64,BW64,""),"")</f>
        <v>#REF!</v>
      </c>
      <c r="AO64" s="181" t="e">
        <f>IF(B64&lt;&gt;"",IF(AA64=BE64,BX64,""),"")</f>
        <v>#REF!</v>
      </c>
      <c r="AP64" s="181" t="e">
        <f>IF(B64&lt;&gt;"",IF(AA64=BG64,BY64,""),"")</f>
        <v>#REF!</v>
      </c>
      <c r="AQ64" s="181" t="e">
        <f>IF(B64&lt;&gt;"",IF(AA64=BI64,BZ64,""),"")</f>
        <v>#REF!</v>
      </c>
      <c r="AR64" s="181" t="e">
        <f>IF(B64&lt;&gt;"",IF(AA64=BK64,CA64,""),"")</f>
        <v>#REF!</v>
      </c>
      <c r="AS64" s="181" t="e">
        <f>IF(B64&lt;&gt;"",IF(AA64=BM64,CB64,""),"")</f>
        <v>#REF!</v>
      </c>
      <c r="AT64" s="181" t="e">
        <f>IF(B64&lt;&gt;"",IF(AA64=BO64,CC64,""),"")</f>
        <v>#REF!</v>
      </c>
      <c r="AU64" s="181"/>
      <c r="AV64" s="63"/>
      <c r="AW64" s="181" t="e">
        <f>IF(B64&lt;&gt;"",VLOOKUP(B64,'[9]IRR MES'!$C$5:$AK$600,2),"")</f>
        <v>#REF!</v>
      </c>
      <c r="AX64" s="247" t="e">
        <f>IF(B64&lt;&gt;"",VLOOKUP(B64,'[9]IRR MES'!$C$5:$AK$600,3),"")</f>
        <v>#REF!</v>
      </c>
      <c r="AY64" s="181" t="e">
        <f>IF(B64&lt;&gt;"",VLOOKUP(B64,'[9]IRR MES'!$C$5:$AK$600,5),"")</f>
        <v>#REF!</v>
      </c>
      <c r="AZ64" s="247" t="e">
        <f>IF(B64&lt;&gt;"",VLOOKUP(B64,'[9]IRR MES'!$C$5:$AK$600,6),"")</f>
        <v>#REF!</v>
      </c>
      <c r="BA64" s="181" t="e">
        <f>IF(B64&lt;&gt;"",VLOOKUP(B64,'[9]IRR MES'!$C$5:$AK$600,8),"")</f>
        <v>#REF!</v>
      </c>
      <c r="BB64" s="247" t="e">
        <f>IF(B64&lt;&gt;"",VLOOKUP(B64,'[9]IRR MES'!$C$5:$AK$600,9),"")</f>
        <v>#REF!</v>
      </c>
      <c r="BC64" s="247" t="e">
        <f>IF(B64&lt;&gt;"",VLOOKUP(B64,'[9]IRR MES'!$C$5:$AK$600,12),"")</f>
        <v>#REF!</v>
      </c>
      <c r="BD64" s="181" t="e">
        <f>IF(B64&lt;&gt;"",VLOOKUP(B64,'[9]IRR MES'!$C$5:$AK$600,14),"")</f>
        <v>#REF!</v>
      </c>
      <c r="BE64" s="247" t="e">
        <f>IF(B64&lt;&gt;"",VLOOKUP(B64,'[9]IRR MES'!$C$5:$AK$600,15),"")</f>
        <v>#REF!</v>
      </c>
      <c r="BF64" s="181" t="e">
        <f>IF(B64&lt;&gt;"",VLOOKUP(B64,'[9]IRR MES'!$C$5:$AK$600,17),"")</f>
        <v>#REF!</v>
      </c>
      <c r="BG64" s="247" t="e">
        <f>IF(B64&lt;&gt;"",VLOOKUP(B64,'[9]IRR MES'!$C$5:$AK$600,18),"")</f>
        <v>#REF!</v>
      </c>
      <c r="BH64" s="181" t="e">
        <f>IF(B64&lt;&gt;"",VLOOKUP(B64,'[9]IRR MES'!$C$5:$AK$600,20),"")</f>
        <v>#REF!</v>
      </c>
      <c r="BI64" s="247" t="e">
        <f>IF(B64&lt;&gt;"",VLOOKUP(B64,'[9]IRR MES'!$C$5:$AK$600,21),"")</f>
        <v>#REF!</v>
      </c>
      <c r="BJ64" s="181" t="e">
        <f>IF(B64&lt;&gt;"",VLOOKUP(B64,'[9]IRR MES'!$C$5:$AK$600,23),"")</f>
        <v>#REF!</v>
      </c>
      <c r="BK64" s="247" t="e">
        <f>IF(B64&lt;&gt;"",VLOOKUP(B64,'[9]IRR MES'!$C$5:$AK$600,24),"")</f>
        <v>#REF!</v>
      </c>
      <c r="BL64" s="181" t="e">
        <f>IF(B64&lt;&gt;"",VLOOKUP(B64,'[9]IRR MES'!$C$5:$AK$600,26),"")</f>
        <v>#REF!</v>
      </c>
      <c r="BM64" s="247" t="e">
        <f>IF(B64&lt;&gt;"",VLOOKUP(B64,'[9]IRR MES'!$C$5:$AK$600,27),"")</f>
        <v>#REF!</v>
      </c>
      <c r="BN64" s="181" t="e">
        <f>IF(B64&lt;&gt;"",VLOOKUP(B64,'[9]IRR MES'!$C$5:$AK$600,29),"")</f>
        <v>#REF!</v>
      </c>
      <c r="BO64" s="247" t="e">
        <f>IF(B64&lt;&gt;"",VLOOKUP(B64,'[9]IRR MES'!$C$5:$AK$600,30),"")</f>
        <v>#REF!</v>
      </c>
      <c r="BP64" s="181" t="e">
        <f>IF(B64&lt;&gt;"",VLOOKUP(B64,'[9]IRR MES'!$C$5:$AK$600,32),"")</f>
        <v>#REF!</v>
      </c>
      <c r="BQ64" s="181" t="e">
        <f>IF(B64&lt;&gt;"",VLOOKUP(B64,'[9]IRR MES'!$C$5:$AK$600,33),"")</f>
        <v>#REF!</v>
      </c>
      <c r="BR64" s="181" t="e">
        <f t="shared" si="54"/>
        <v>#REF!</v>
      </c>
      <c r="BS64" s="181" t="e">
        <f>IF(B64&lt;&gt;"",VLOOKUP(B64,'[9]IRR MES'!$C$5:$AK$600,34),"")</f>
        <v>#REF!</v>
      </c>
      <c r="BT64" s="248" t="e">
        <f>IF(B64&lt;&gt;"",VLOOKUP(B64,'[9]IRR MES'!$C$1:$AK$600,4),"")</f>
        <v>#REF!</v>
      </c>
      <c r="BU64" s="248" t="e">
        <f>IF(B64&lt;&gt;"",VLOOKUP(B64,'[9]IRR MES'!$C$1:$AK$600,7),"")</f>
        <v>#REF!</v>
      </c>
      <c r="BV64" s="248" t="e">
        <f>IF(B64&lt;&gt;"",VLOOKUP(B64,'[9]IRR MES'!$C$1:$AK$600,10),"")</f>
        <v>#REF!</v>
      </c>
      <c r="BW64" s="248" t="e">
        <f>IF(B64&lt;&gt;"",VLOOKUP(B64,'[9]IRR MES'!$C$1:$AK$600,13),"")</f>
        <v>#REF!</v>
      </c>
      <c r="BX64" s="248" t="e">
        <f>IF(B64&lt;&gt;"",VLOOKUP(B64,'[9]IRR MES'!$C$1:$AK$600,16),"")</f>
        <v>#REF!</v>
      </c>
      <c r="BY64" s="248" t="e">
        <f>IF(B64&lt;&gt;"",VLOOKUP(B64,'[9]IRR MES'!$C$1:$AK$600,19),"")</f>
        <v>#REF!</v>
      </c>
      <c r="BZ64" s="248" t="e">
        <f>IF(B64&lt;&gt;"",VLOOKUP(B64,'[9]IRR MES'!$C$1:$AK$600,22),"")</f>
        <v>#REF!</v>
      </c>
      <c r="CA64" s="248" t="e">
        <f>IF(B64&lt;&gt;"",VLOOKUP(B64,'[9]IRR MES'!$C$1:$AK$600,25),"")</f>
        <v>#REF!</v>
      </c>
      <c r="CB64" s="248" t="e">
        <f>IF(B64&lt;&gt;"",VLOOKUP(B64,'[9]IRR MES'!$C$1:$AK$600,28),"")</f>
        <v>#REF!</v>
      </c>
      <c r="CC64" s="248" t="e">
        <f>IF(B64&lt;&gt;"",VLOOKUP(B64,'[9]IRR MES'!$C$1:$AK$600,31),"")</f>
        <v>#REF!</v>
      </c>
      <c r="CD64" s="249" t="e">
        <f>#REF!</f>
        <v>#REF!</v>
      </c>
    </row>
    <row r="65" spans="1:83" x14ac:dyDescent="0.2">
      <c r="A65" s="10" t="e">
        <f t="shared" si="29"/>
        <v>#REF!</v>
      </c>
      <c r="B65" s="50" t="e">
        <f>#REF!</f>
        <v>#REF!</v>
      </c>
      <c r="C65" s="38">
        <f>'LEVANTAMENTO DADOS'!B63</f>
        <v>5900.15</v>
      </c>
      <c r="D65" s="63" t="e">
        <f>'BASE DE CALCULO IR'!W65</f>
        <v>#REF!</v>
      </c>
      <c r="E65" s="63"/>
      <c r="F65" s="60"/>
      <c r="G65" s="63"/>
      <c r="H65" s="63"/>
      <c r="I65" s="63"/>
      <c r="J65" s="63"/>
      <c r="K65" s="61"/>
      <c r="L65" s="61"/>
      <c r="M65" s="61"/>
      <c r="N65" s="60"/>
      <c r="O65" s="60"/>
      <c r="P65" s="60"/>
      <c r="Q65" s="62"/>
      <c r="R65" s="62" t="e">
        <f>SUM(C65:Q65)</f>
        <v>#REF!</v>
      </c>
      <c r="S65" s="63" t="e">
        <f>IF(C65&lt;&gt;"",C65+R65,R65)</f>
        <v>#REF!</v>
      </c>
      <c r="T65" s="250"/>
      <c r="U65" s="63" t="e">
        <f>IF(B65&lt;&gt;"",AI65*T65,"")</f>
        <v>#REF!</v>
      </c>
      <c r="V65" s="63" t="e">
        <f>#REF!</f>
        <v>#REF!</v>
      </c>
      <c r="W65" s="63" t="e">
        <f>IF(C65&lt;&gt;"",IF(AND(AE65&gt;0,R65&gt;0),S65-U65-V65,IF(AI65&lt;&gt;"",R65-U65-V65)),IF(C65="",IF(AI65&lt;&gt;"",R65-U65-V65)))</f>
        <v>#REF!</v>
      </c>
      <c r="X65" s="242" t="e">
        <f>SUM(D65:Q65)-U65-V65</f>
        <v>#REF!</v>
      </c>
      <c r="Y65" s="34" t="e">
        <f t="shared" si="28"/>
        <v>#REF!</v>
      </c>
      <c r="Z65" s="34" t="e">
        <f>X65</f>
        <v>#REF!</v>
      </c>
      <c r="AA65" s="176" t="e">
        <f>IF(B65&lt;&gt;"",IF(R65&gt;Y65,LOOKUP(R65,AW65:BO65,AW65:BS65),""),"")</f>
        <v>#REF!</v>
      </c>
      <c r="AB65" s="11" t="e">
        <f>IF(W65&gt;Y65,X65*AA65,0)</f>
        <v>#REF!</v>
      </c>
      <c r="AC65" s="245" t="e">
        <f>IF(B65&lt;&gt;"",MAX(AK65:AU65),"")</f>
        <v>#REF!</v>
      </c>
      <c r="AD65" s="245" t="e">
        <f>IF(AA65&lt;&gt;"",(X65*AA65)-AC65,"ISENTO")</f>
        <v>#REF!</v>
      </c>
      <c r="AE65" s="245"/>
      <c r="AF65" s="245" t="e">
        <f>IF(AD65&lt;&gt;"isento",AD65-AE65,0)</f>
        <v>#REF!</v>
      </c>
      <c r="AG65" s="173" t="e">
        <f>CD65</f>
        <v>#REF!</v>
      </c>
      <c r="AH65" s="51" t="e">
        <f>IF(AF65&gt;0,AF65*CD65,0)</f>
        <v>#REF!</v>
      </c>
      <c r="AI65" s="63" t="e">
        <f>IF(B65&lt;&gt;"",VLOOKUP(B65,'[9]IRR MES'!$C$15:$AK$600,32),"")</f>
        <v>#REF!</v>
      </c>
      <c r="AJ65" s="246" t="e">
        <f>B65</f>
        <v>#REF!</v>
      </c>
      <c r="AK65" s="181" t="e">
        <f>IF(B65&lt;&gt;"",IF(AA65=AX65,BT65,""),"")</f>
        <v>#REF!</v>
      </c>
      <c r="AL65" s="181" t="e">
        <f>IF(B65&lt;&gt;"",IF(AA65=AZ65,BU65,""),"")</f>
        <v>#REF!</v>
      </c>
      <c r="AM65" s="181" t="e">
        <f>IF(B65&lt;&gt;"",IF(AA65=BB65,BV65,""),"")</f>
        <v>#REF!</v>
      </c>
      <c r="AN65" s="181" t="e">
        <f>IF(B65&lt;&gt;"",IF(AA65=BC65,BW65,""),"")</f>
        <v>#REF!</v>
      </c>
      <c r="AO65" s="181" t="e">
        <f>IF(B65&lt;&gt;"",IF(AA65=BE65,BX65,""),"")</f>
        <v>#REF!</v>
      </c>
      <c r="AP65" s="181" t="e">
        <f>IF(B65&lt;&gt;"",IF(AA65=BG65,BY65,""),"")</f>
        <v>#REF!</v>
      </c>
      <c r="AQ65" s="181" t="e">
        <f>IF(B65&lt;&gt;"",IF(AA65=BI65,BZ65,""),"")</f>
        <v>#REF!</v>
      </c>
      <c r="AR65" s="181" t="e">
        <f>IF(B65&lt;&gt;"",IF(AA65=BK65,CA65,""),"")</f>
        <v>#REF!</v>
      </c>
      <c r="AS65" s="181" t="e">
        <f>IF(B65&lt;&gt;"",IF(AA65=BM65,CB65,""),"")</f>
        <v>#REF!</v>
      </c>
      <c r="AT65" s="181" t="e">
        <f>IF(B65&lt;&gt;"",IF(AA65=BO65,CC65,""),"")</f>
        <v>#REF!</v>
      </c>
      <c r="AU65" s="181"/>
      <c r="AV65" s="63"/>
      <c r="AW65" s="181" t="e">
        <f>IF(B65&lt;&gt;"",VLOOKUP(B65,'[9]IRR MES'!$C$5:$AK$600,2),"")</f>
        <v>#REF!</v>
      </c>
      <c r="AX65" s="247" t="e">
        <f>IF(B65&lt;&gt;"",VLOOKUP(B65,'[9]IRR MES'!$C$5:$AK$600,3),"")</f>
        <v>#REF!</v>
      </c>
      <c r="AY65" s="181" t="e">
        <f>IF(B65&lt;&gt;"",VLOOKUP(B65,'[9]IRR MES'!$C$5:$AK$600,5),"")</f>
        <v>#REF!</v>
      </c>
      <c r="AZ65" s="247" t="e">
        <f>IF(B65&lt;&gt;"",VLOOKUP(B65,'[9]IRR MES'!$C$5:$AK$600,6),"")</f>
        <v>#REF!</v>
      </c>
      <c r="BA65" s="181" t="e">
        <f>IF(B65&lt;&gt;"",VLOOKUP(B65,'[9]IRR MES'!$C$5:$AK$600,8),"")</f>
        <v>#REF!</v>
      </c>
      <c r="BB65" s="247" t="e">
        <f>IF(B65&lt;&gt;"",VLOOKUP(B65,'[9]IRR MES'!$C$5:$AK$600,9),"")</f>
        <v>#REF!</v>
      </c>
      <c r="BC65" s="247" t="e">
        <f>IF(B65&lt;&gt;"",VLOOKUP(B65,'[9]IRR MES'!$C$5:$AK$600,12),"")</f>
        <v>#REF!</v>
      </c>
      <c r="BD65" s="181" t="e">
        <f>IF(B65&lt;&gt;"",VLOOKUP(B65,'[9]IRR MES'!$C$5:$AK$600,14),"")</f>
        <v>#REF!</v>
      </c>
      <c r="BE65" s="247" t="e">
        <f>IF(B65&lt;&gt;"",VLOOKUP(B65,'[9]IRR MES'!$C$5:$AK$600,15),"")</f>
        <v>#REF!</v>
      </c>
      <c r="BF65" s="181" t="e">
        <f>IF(B65&lt;&gt;"",VLOOKUP(B65,'[9]IRR MES'!$C$5:$AK$600,17),"")</f>
        <v>#REF!</v>
      </c>
      <c r="BG65" s="247" t="e">
        <f>IF(B65&lt;&gt;"",VLOOKUP(B65,'[9]IRR MES'!$C$5:$AK$600,18),"")</f>
        <v>#REF!</v>
      </c>
      <c r="BH65" s="181" t="e">
        <f>IF(B65&lt;&gt;"",VLOOKUP(B65,'[9]IRR MES'!$C$5:$AK$600,20),"")</f>
        <v>#REF!</v>
      </c>
      <c r="BI65" s="247" t="e">
        <f>IF(B65&lt;&gt;"",VLOOKUP(B65,'[9]IRR MES'!$C$5:$AK$600,21),"")</f>
        <v>#REF!</v>
      </c>
      <c r="BJ65" s="181" t="e">
        <f>IF(B65&lt;&gt;"",VLOOKUP(B65,'[9]IRR MES'!$C$5:$AK$600,23),"")</f>
        <v>#REF!</v>
      </c>
      <c r="BK65" s="247" t="e">
        <f>IF(B65&lt;&gt;"",VLOOKUP(B65,'[9]IRR MES'!$C$5:$AK$600,24),"")</f>
        <v>#REF!</v>
      </c>
      <c r="BL65" s="181" t="e">
        <f>IF(B65&lt;&gt;"",VLOOKUP(B65,'[9]IRR MES'!$C$5:$AK$600,26),"")</f>
        <v>#REF!</v>
      </c>
      <c r="BM65" s="247" t="e">
        <f>IF(B65&lt;&gt;"",VLOOKUP(B65,'[9]IRR MES'!$C$5:$AK$600,27),"")</f>
        <v>#REF!</v>
      </c>
      <c r="BN65" s="181" t="e">
        <f>IF(B65&lt;&gt;"",VLOOKUP(B65,'[9]IRR MES'!$C$5:$AK$600,29),"")</f>
        <v>#REF!</v>
      </c>
      <c r="BO65" s="247" t="e">
        <f>IF(B65&lt;&gt;"",VLOOKUP(B65,'[9]IRR MES'!$C$5:$AK$600,30),"")</f>
        <v>#REF!</v>
      </c>
      <c r="BP65" s="181" t="e">
        <f>IF(B65&lt;&gt;"",VLOOKUP(B65,'[9]IRR MES'!$C$5:$AK$600,32),"")</f>
        <v>#REF!</v>
      </c>
      <c r="BQ65" s="181" t="e">
        <f>IF(B65&lt;&gt;"",VLOOKUP(B65,'[9]IRR MES'!$C$5:$AK$600,33),"")</f>
        <v>#REF!</v>
      </c>
      <c r="BR65" s="181" t="e">
        <f t="shared" si="54"/>
        <v>#REF!</v>
      </c>
      <c r="BS65" s="181" t="e">
        <f>IF(B65&lt;&gt;"",VLOOKUP(B65,'[9]IRR MES'!$C$5:$AK$600,34),"")</f>
        <v>#REF!</v>
      </c>
      <c r="BT65" s="248" t="e">
        <f>IF(B65&lt;&gt;"",VLOOKUP(B65,'[9]IRR MES'!$C$1:$AK$600,4),"")</f>
        <v>#REF!</v>
      </c>
      <c r="BU65" s="248" t="e">
        <f>IF(B65&lt;&gt;"",VLOOKUP(B65,'[9]IRR MES'!$C$1:$AK$600,7),"")</f>
        <v>#REF!</v>
      </c>
      <c r="BV65" s="248" t="e">
        <f>IF(B65&lt;&gt;"",VLOOKUP(B65,'[9]IRR MES'!$C$1:$AK$600,10),"")</f>
        <v>#REF!</v>
      </c>
      <c r="BW65" s="248" t="e">
        <f>IF(B65&lt;&gt;"",VLOOKUP(B65,'[9]IRR MES'!$C$1:$AK$600,13),"")</f>
        <v>#REF!</v>
      </c>
      <c r="BX65" s="248" t="e">
        <f>IF(B65&lt;&gt;"",VLOOKUP(B65,'[9]IRR MES'!$C$1:$AK$600,16),"")</f>
        <v>#REF!</v>
      </c>
      <c r="BY65" s="248" t="e">
        <f>IF(B65&lt;&gt;"",VLOOKUP(B65,'[9]IRR MES'!$C$1:$AK$600,19),"")</f>
        <v>#REF!</v>
      </c>
      <c r="BZ65" s="248" t="e">
        <f>IF(B65&lt;&gt;"",VLOOKUP(B65,'[9]IRR MES'!$C$1:$AK$600,22),"")</f>
        <v>#REF!</v>
      </c>
      <c r="CA65" s="248" t="e">
        <f>IF(B65&lt;&gt;"",VLOOKUP(B65,'[9]IRR MES'!$C$1:$AK$600,25),"")</f>
        <v>#REF!</v>
      </c>
      <c r="CB65" s="248" t="e">
        <f>IF(B65&lt;&gt;"",VLOOKUP(B65,'[9]IRR MES'!$C$1:$AK$600,28),"")</f>
        <v>#REF!</v>
      </c>
      <c r="CC65" s="248" t="e">
        <f>IF(B65&lt;&gt;"",VLOOKUP(B65,'[9]IRR MES'!$C$1:$AK$600,31),"")</f>
        <v>#REF!</v>
      </c>
      <c r="CD65" s="249" t="e">
        <f>#REF!</f>
        <v>#REF!</v>
      </c>
    </row>
    <row r="66" spans="1:83" x14ac:dyDescent="0.2">
      <c r="A66" s="10" t="e">
        <f t="shared" si="29"/>
        <v>#REF!</v>
      </c>
      <c r="B66" s="50" t="e">
        <f>#REF!</f>
        <v>#REF!</v>
      </c>
      <c r="C66" s="38">
        <f>'LEVANTAMENTO DADOS'!B65</f>
        <v>6007.27</v>
      </c>
      <c r="D66" s="63" t="e">
        <f>'BASE DE CALCULO IR'!W66</f>
        <v>#REF!</v>
      </c>
      <c r="E66" s="63"/>
      <c r="F66" s="60"/>
      <c r="G66" s="63"/>
      <c r="H66" s="63"/>
      <c r="I66" s="63"/>
      <c r="J66" s="63"/>
      <c r="K66" s="61"/>
      <c r="L66" s="61"/>
      <c r="M66" s="61"/>
      <c r="N66" s="60"/>
      <c r="O66" s="60"/>
      <c r="P66" s="60"/>
      <c r="Q66" s="62"/>
      <c r="R66" s="62" t="e">
        <f>SUM(C66:Q66)</f>
        <v>#REF!</v>
      </c>
      <c r="S66" s="63" t="e">
        <f>IF(C66&lt;&gt;"",C66+R66,R66)</f>
        <v>#REF!</v>
      </c>
      <c r="T66" s="250"/>
      <c r="U66" s="63" t="e">
        <f>IF(B66&lt;&gt;"",AI66*T66,"")</f>
        <v>#REF!</v>
      </c>
      <c r="V66" s="63" t="e">
        <f>#REF!</f>
        <v>#REF!</v>
      </c>
      <c r="W66" s="63" t="e">
        <f>IF(C66&lt;&gt;"",IF(AND(AE66&gt;0,R66&gt;0),S66-U66-V66,IF(AI66&lt;&gt;"",R66-U66-V66)),IF(C66="",IF(AI66&lt;&gt;"",R66-U66-V66)))</f>
        <v>#REF!</v>
      </c>
      <c r="X66" s="242" t="e">
        <f>SUM(D66:Q66)-U66-V66</f>
        <v>#REF!</v>
      </c>
      <c r="Y66" s="34" t="e">
        <f t="shared" si="28"/>
        <v>#REF!</v>
      </c>
      <c r="Z66" s="34" t="e">
        <f>X66</f>
        <v>#REF!</v>
      </c>
      <c r="AA66" s="176" t="e">
        <f>IF(B66&lt;&gt;"",IF(R66&gt;Y66,LOOKUP(R66,AW66:BO66,AW66:BS66),""),"")</f>
        <v>#REF!</v>
      </c>
      <c r="AB66" s="11" t="e">
        <f>IF(W66&gt;Y66,X66*AA66,0)</f>
        <v>#REF!</v>
      </c>
      <c r="AC66" s="245" t="e">
        <f>IF(B66&lt;&gt;"",MAX(AK66:AU66),"")</f>
        <v>#REF!</v>
      </c>
      <c r="AD66" s="245" t="e">
        <f>IF(AA66&lt;&gt;"",(X66*AA66)-AC66,"ISENTO")</f>
        <v>#REF!</v>
      </c>
      <c r="AE66" s="245"/>
      <c r="AF66" s="245" t="e">
        <f>IF(AD66&lt;&gt;"isento",AD66-AE66,0)</f>
        <v>#REF!</v>
      </c>
      <c r="AG66" s="173" t="e">
        <f>CD66</f>
        <v>#REF!</v>
      </c>
      <c r="AH66" s="51" t="e">
        <f>IF(AF66&gt;0,AF66*CD66,0)</f>
        <v>#REF!</v>
      </c>
      <c r="AI66" s="63" t="e">
        <f>IF(B66&lt;&gt;"",VLOOKUP(B66,'[9]IRR MES'!$C$15:$AK$600,32),"")</f>
        <v>#REF!</v>
      </c>
      <c r="AJ66" s="246" t="e">
        <f>B66</f>
        <v>#REF!</v>
      </c>
      <c r="AK66" s="181" t="e">
        <f>IF(B66&lt;&gt;"",IF(AA66=AX66,BT66,""),"")</f>
        <v>#REF!</v>
      </c>
      <c r="AL66" s="181" t="e">
        <f>IF(B66&lt;&gt;"",IF(AA66=AZ66,BU66,""),"")</f>
        <v>#REF!</v>
      </c>
      <c r="AM66" s="181" t="e">
        <f>IF(B66&lt;&gt;"",IF(AA66=BB66,BV66,""),"")</f>
        <v>#REF!</v>
      </c>
      <c r="AN66" s="181" t="e">
        <f>IF(B66&lt;&gt;"",IF(AA66=BC66,BW66,""),"")</f>
        <v>#REF!</v>
      </c>
      <c r="AO66" s="181" t="e">
        <f>IF(B66&lt;&gt;"",IF(AA66=BE66,BX66,""),"")</f>
        <v>#REF!</v>
      </c>
      <c r="AP66" s="181" t="e">
        <f>IF(B66&lt;&gt;"",IF(AA66=BG66,BY66,""),"")</f>
        <v>#REF!</v>
      </c>
      <c r="AQ66" s="181" t="e">
        <f>IF(B66&lt;&gt;"",IF(AA66=BI66,BZ66,""),"")</f>
        <v>#REF!</v>
      </c>
      <c r="AR66" s="181" t="e">
        <f>IF(B66&lt;&gt;"",IF(AA66=BK66,CA66,""),"")</f>
        <v>#REF!</v>
      </c>
      <c r="AS66" s="181" t="e">
        <f>IF(B66&lt;&gt;"",IF(AA66=BM66,CB66,""),"")</f>
        <v>#REF!</v>
      </c>
      <c r="AT66" s="181" t="e">
        <f>IF(B66&lt;&gt;"",IF(AA66=BO66,CC66,""),"")</f>
        <v>#REF!</v>
      </c>
      <c r="AU66" s="181"/>
      <c r="AV66" s="63"/>
      <c r="AW66" s="181" t="e">
        <f>IF(B66&lt;&gt;"",VLOOKUP(B66,'[9]IRR MES'!$C$5:$AK$600,2),"")</f>
        <v>#REF!</v>
      </c>
      <c r="AX66" s="247" t="e">
        <f>IF(B66&lt;&gt;"",VLOOKUP(B66,'[9]IRR MES'!$C$5:$AK$600,3),"")</f>
        <v>#REF!</v>
      </c>
      <c r="AY66" s="181" t="e">
        <f>IF(B66&lt;&gt;"",VLOOKUP(B66,'[9]IRR MES'!$C$5:$AK$600,5),"")</f>
        <v>#REF!</v>
      </c>
      <c r="AZ66" s="247" t="e">
        <f>IF(B66&lt;&gt;"",VLOOKUP(B66,'[9]IRR MES'!$C$5:$AK$600,6),"")</f>
        <v>#REF!</v>
      </c>
      <c r="BA66" s="181" t="e">
        <f>IF(B66&lt;&gt;"",VLOOKUP(B66,'[9]IRR MES'!$C$5:$AK$600,8),"")</f>
        <v>#REF!</v>
      </c>
      <c r="BB66" s="247" t="e">
        <f>IF(B66&lt;&gt;"",VLOOKUP(B66,'[9]IRR MES'!$C$5:$AK$600,9),"")</f>
        <v>#REF!</v>
      </c>
      <c r="BC66" s="247" t="e">
        <f>IF(B66&lt;&gt;"",VLOOKUP(B66,'[9]IRR MES'!$C$5:$AK$600,12),"")</f>
        <v>#REF!</v>
      </c>
      <c r="BD66" s="181" t="e">
        <f>IF(B66&lt;&gt;"",VLOOKUP(B66,'[9]IRR MES'!$C$5:$AK$600,14),"")</f>
        <v>#REF!</v>
      </c>
      <c r="BE66" s="247" t="e">
        <f>IF(B66&lt;&gt;"",VLOOKUP(B66,'[9]IRR MES'!$C$5:$AK$600,15),"")</f>
        <v>#REF!</v>
      </c>
      <c r="BF66" s="181" t="e">
        <f>IF(B66&lt;&gt;"",VLOOKUP(B66,'[9]IRR MES'!$C$5:$AK$600,17),"")</f>
        <v>#REF!</v>
      </c>
      <c r="BG66" s="247" t="e">
        <f>IF(B66&lt;&gt;"",VLOOKUP(B66,'[9]IRR MES'!$C$5:$AK$600,18),"")</f>
        <v>#REF!</v>
      </c>
      <c r="BH66" s="181" t="e">
        <f>IF(B66&lt;&gt;"",VLOOKUP(B66,'[9]IRR MES'!$C$5:$AK$600,20),"")</f>
        <v>#REF!</v>
      </c>
      <c r="BI66" s="247" t="e">
        <f>IF(B66&lt;&gt;"",VLOOKUP(B66,'[9]IRR MES'!$C$5:$AK$600,21),"")</f>
        <v>#REF!</v>
      </c>
      <c r="BJ66" s="181" t="e">
        <f>IF(B66&lt;&gt;"",VLOOKUP(B66,'[9]IRR MES'!$C$5:$AK$600,23),"")</f>
        <v>#REF!</v>
      </c>
      <c r="BK66" s="247" t="e">
        <f>IF(B66&lt;&gt;"",VLOOKUP(B66,'[9]IRR MES'!$C$5:$AK$600,24),"")</f>
        <v>#REF!</v>
      </c>
      <c r="BL66" s="181" t="e">
        <f>IF(B66&lt;&gt;"",VLOOKUP(B66,'[9]IRR MES'!$C$5:$AK$600,26),"")</f>
        <v>#REF!</v>
      </c>
      <c r="BM66" s="247" t="e">
        <f>IF(B66&lt;&gt;"",VLOOKUP(B66,'[9]IRR MES'!$C$5:$AK$600,27),"")</f>
        <v>#REF!</v>
      </c>
      <c r="BN66" s="181" t="e">
        <f>IF(B66&lt;&gt;"",VLOOKUP(B66,'[9]IRR MES'!$C$5:$AK$600,29),"")</f>
        <v>#REF!</v>
      </c>
      <c r="BO66" s="247" t="e">
        <f>IF(B66&lt;&gt;"",VLOOKUP(B66,'[9]IRR MES'!$C$5:$AK$600,30),"")</f>
        <v>#REF!</v>
      </c>
      <c r="BP66" s="181" t="e">
        <f>IF(B66&lt;&gt;"",VLOOKUP(B66,'[9]IRR MES'!$C$5:$AK$600,32),"")</f>
        <v>#REF!</v>
      </c>
      <c r="BQ66" s="181" t="e">
        <f>IF(B66&lt;&gt;"",VLOOKUP(B66,'[9]IRR MES'!$C$5:$AK$600,33),"")</f>
        <v>#REF!</v>
      </c>
      <c r="BR66" s="181" t="e">
        <f t="shared" si="54"/>
        <v>#REF!</v>
      </c>
      <c r="BS66" s="181" t="e">
        <f>IF(B66&lt;&gt;"",VLOOKUP(B66,'[9]IRR MES'!$C$5:$AK$600,34),"")</f>
        <v>#REF!</v>
      </c>
      <c r="BT66" s="248" t="e">
        <f>IF(B66&lt;&gt;"",VLOOKUP(B66,'[9]IRR MES'!$C$1:$AK$600,4),"")</f>
        <v>#REF!</v>
      </c>
      <c r="BU66" s="248" t="e">
        <f>IF(B66&lt;&gt;"",VLOOKUP(B66,'[9]IRR MES'!$C$1:$AK$600,7),"")</f>
        <v>#REF!</v>
      </c>
      <c r="BV66" s="248" t="e">
        <f>IF(B66&lt;&gt;"",VLOOKUP(B66,'[9]IRR MES'!$C$1:$AK$600,10),"")</f>
        <v>#REF!</v>
      </c>
      <c r="BW66" s="248" t="e">
        <f>IF(B66&lt;&gt;"",VLOOKUP(B66,'[9]IRR MES'!$C$1:$AK$600,13),"")</f>
        <v>#REF!</v>
      </c>
      <c r="BX66" s="248" t="e">
        <f>IF(B66&lt;&gt;"",VLOOKUP(B66,'[9]IRR MES'!$C$1:$AK$600,16),"")</f>
        <v>#REF!</v>
      </c>
      <c r="BY66" s="248" t="e">
        <f>IF(B66&lt;&gt;"",VLOOKUP(B66,'[9]IRR MES'!$C$1:$AK$600,19),"")</f>
        <v>#REF!</v>
      </c>
      <c r="BZ66" s="248" t="e">
        <f>IF(B66&lt;&gt;"",VLOOKUP(B66,'[9]IRR MES'!$C$1:$AK$600,22),"")</f>
        <v>#REF!</v>
      </c>
      <c r="CA66" s="248" t="e">
        <f>IF(B66&lt;&gt;"",VLOOKUP(B66,'[9]IRR MES'!$C$1:$AK$600,25),"")</f>
        <v>#REF!</v>
      </c>
      <c r="CB66" s="248" t="e">
        <f>IF(B66&lt;&gt;"",VLOOKUP(B66,'[9]IRR MES'!$C$1:$AK$600,28),"")</f>
        <v>#REF!</v>
      </c>
      <c r="CC66" s="248" t="e">
        <f>IF(B66&lt;&gt;"",VLOOKUP(B66,'[9]IRR MES'!$C$1:$AK$600,31),"")</f>
        <v>#REF!</v>
      </c>
      <c r="CD66" s="249" t="e">
        <f>#REF!</f>
        <v>#REF!</v>
      </c>
    </row>
    <row r="67" spans="1:83" x14ac:dyDescent="0.2">
      <c r="A67" s="10" t="e">
        <f t="shared" si="29"/>
        <v>#REF!</v>
      </c>
      <c r="B67" s="50" t="e">
        <f>#REF!</f>
        <v>#REF!</v>
      </c>
      <c r="C67" s="38" t="e">
        <f>'LEVANTAMENTO DADOS'!#REF!</f>
        <v>#REF!</v>
      </c>
      <c r="D67" s="63" t="e">
        <f>'BASE DE CALCULO IR'!W67</f>
        <v>#REF!</v>
      </c>
      <c r="E67" s="63"/>
      <c r="F67" s="60"/>
      <c r="G67" s="63"/>
      <c r="H67" s="63"/>
      <c r="I67" s="63"/>
      <c r="J67" s="63"/>
      <c r="K67" s="61"/>
      <c r="L67" s="61"/>
      <c r="M67" s="61"/>
      <c r="N67" s="60"/>
      <c r="O67" s="60"/>
      <c r="P67" s="60"/>
      <c r="Q67" s="62"/>
      <c r="R67" s="62" t="e">
        <f>SUM(C67:Q67)</f>
        <v>#REF!</v>
      </c>
      <c r="S67" s="63" t="e">
        <f>IF(C67&lt;&gt;"",C67+R67,R67)</f>
        <v>#REF!</v>
      </c>
      <c r="T67" s="250"/>
      <c r="U67" s="63" t="e">
        <f>IF(B67&lt;&gt;"",AI67*T67,"")</f>
        <v>#REF!</v>
      </c>
      <c r="V67" s="63" t="e">
        <f>#REF!</f>
        <v>#REF!</v>
      </c>
      <c r="W67" s="63" t="e">
        <f>IF(C67&lt;&gt;"",IF(AND(AE67&gt;0,R67&gt;0),S67-U67-V67,IF(AI67&lt;&gt;"",R67-U67-V67)),IF(C67="",IF(AI67&lt;&gt;"",R67-U67-V67)))</f>
        <v>#REF!</v>
      </c>
      <c r="X67" s="242" t="e">
        <f>SUM(D67:Q67)-U67-V67</f>
        <v>#REF!</v>
      </c>
      <c r="Y67" s="34" t="e">
        <f t="shared" si="28"/>
        <v>#REF!</v>
      </c>
      <c r="Z67" s="34" t="e">
        <f>X67</f>
        <v>#REF!</v>
      </c>
      <c r="AA67" s="176" t="e">
        <f>IF(B67&lt;&gt;"",IF(R67&gt;Y67,LOOKUP(R67,AW67:BO67,AW67:BS67),""),"")</f>
        <v>#REF!</v>
      </c>
      <c r="AB67" s="11" t="e">
        <f>IF(W67&gt;Y67,X67*AA67,0)</f>
        <v>#REF!</v>
      </c>
      <c r="AC67" s="245" t="e">
        <f>IF(B67&lt;&gt;"",MAX(AK67:AU67),"")</f>
        <v>#REF!</v>
      </c>
      <c r="AD67" s="245" t="e">
        <f>IF(AA67&lt;&gt;"",(X67*AA67)-AC67,"ISENTO")</f>
        <v>#REF!</v>
      </c>
      <c r="AE67" s="245"/>
      <c r="AF67" s="245" t="e">
        <f>IF(AD67&lt;&gt;"isento",AD67-AE67,0)</f>
        <v>#REF!</v>
      </c>
      <c r="AG67" s="173" t="e">
        <f>CD67</f>
        <v>#REF!</v>
      </c>
      <c r="AH67" s="51" t="e">
        <f>IF(AF67&gt;0,AF67*CD67,0)</f>
        <v>#REF!</v>
      </c>
      <c r="AI67" s="63" t="e">
        <f>IF(B67&lt;&gt;"",VLOOKUP(B67,'[9]IRR MES'!$C$15:$AK$600,32),"")</f>
        <v>#REF!</v>
      </c>
      <c r="AJ67" s="246" t="e">
        <f>B67</f>
        <v>#REF!</v>
      </c>
      <c r="AK67" s="181" t="e">
        <f>IF(B67&lt;&gt;"",IF(AA67=AX67,BT67,""),"")</f>
        <v>#REF!</v>
      </c>
      <c r="AL67" s="181" t="e">
        <f>IF(B67&lt;&gt;"",IF(AA67=AZ67,BU67,""),"")</f>
        <v>#REF!</v>
      </c>
      <c r="AM67" s="181" t="e">
        <f>IF(B67&lt;&gt;"",IF(AA67=BB67,BV67,""),"")</f>
        <v>#REF!</v>
      </c>
      <c r="AN67" s="181" t="e">
        <f>IF(B67&lt;&gt;"",IF(AA67=BC67,BW67,""),"")</f>
        <v>#REF!</v>
      </c>
      <c r="AO67" s="181" t="e">
        <f>IF(B67&lt;&gt;"",IF(AA67=BE67,BX67,""),"")</f>
        <v>#REF!</v>
      </c>
      <c r="AP67" s="181" t="e">
        <f>IF(B67&lt;&gt;"",IF(AA67=BG67,BY67,""),"")</f>
        <v>#REF!</v>
      </c>
      <c r="AQ67" s="181" t="e">
        <f>IF(B67&lt;&gt;"",IF(AA67=BI67,BZ67,""),"")</f>
        <v>#REF!</v>
      </c>
      <c r="AR67" s="181" t="e">
        <f>IF(B67&lt;&gt;"",IF(AA67=BK67,CA67,""),"")</f>
        <v>#REF!</v>
      </c>
      <c r="AS67" s="181" t="e">
        <f>IF(B67&lt;&gt;"",IF(AA67=BM67,CB67,""),"")</f>
        <v>#REF!</v>
      </c>
      <c r="AT67" s="181" t="e">
        <f>IF(B67&lt;&gt;"",IF(AA67=BO67,CC67,""),"")</f>
        <v>#REF!</v>
      </c>
      <c r="AU67" s="181"/>
      <c r="AV67" s="63"/>
      <c r="AW67" s="181" t="e">
        <f>IF(B67&lt;&gt;"",VLOOKUP(B67,'[9]IRR MES'!$C$5:$AK$600,2),"")</f>
        <v>#REF!</v>
      </c>
      <c r="AX67" s="247" t="e">
        <f>IF(B67&lt;&gt;"",VLOOKUP(B67,'[9]IRR MES'!$C$5:$AK$600,3),"")</f>
        <v>#REF!</v>
      </c>
      <c r="AY67" s="181" t="e">
        <f>IF(B67&lt;&gt;"",VLOOKUP(B67,'[9]IRR MES'!$C$5:$AK$600,5),"")</f>
        <v>#REF!</v>
      </c>
      <c r="AZ67" s="247" t="e">
        <f>IF(B67&lt;&gt;"",VLOOKUP(B67,'[9]IRR MES'!$C$5:$AK$600,6),"")</f>
        <v>#REF!</v>
      </c>
      <c r="BA67" s="181" t="e">
        <f>IF(B67&lt;&gt;"",VLOOKUP(B67,'[9]IRR MES'!$C$5:$AK$600,8),"")</f>
        <v>#REF!</v>
      </c>
      <c r="BB67" s="247" t="e">
        <f>IF(B67&lt;&gt;"",VLOOKUP(B67,'[9]IRR MES'!$C$5:$AK$600,9),"")</f>
        <v>#REF!</v>
      </c>
      <c r="BC67" s="247" t="e">
        <f>IF(B67&lt;&gt;"",VLOOKUP(B67,'[9]IRR MES'!$C$5:$AK$600,12),"")</f>
        <v>#REF!</v>
      </c>
      <c r="BD67" s="181" t="e">
        <f>IF(B67&lt;&gt;"",VLOOKUP(B67,'[9]IRR MES'!$C$5:$AK$600,14),"")</f>
        <v>#REF!</v>
      </c>
      <c r="BE67" s="247" t="e">
        <f>IF(B67&lt;&gt;"",VLOOKUP(B67,'[9]IRR MES'!$C$5:$AK$600,15),"")</f>
        <v>#REF!</v>
      </c>
      <c r="BF67" s="181" t="e">
        <f>IF(B67&lt;&gt;"",VLOOKUP(B67,'[9]IRR MES'!$C$5:$AK$600,17),"")</f>
        <v>#REF!</v>
      </c>
      <c r="BG67" s="247" t="e">
        <f>IF(B67&lt;&gt;"",VLOOKUP(B67,'[9]IRR MES'!$C$5:$AK$600,18),"")</f>
        <v>#REF!</v>
      </c>
      <c r="BH67" s="181" t="e">
        <f>IF(B67&lt;&gt;"",VLOOKUP(B67,'[9]IRR MES'!$C$5:$AK$600,20),"")</f>
        <v>#REF!</v>
      </c>
      <c r="BI67" s="247" t="e">
        <f>IF(B67&lt;&gt;"",VLOOKUP(B67,'[9]IRR MES'!$C$5:$AK$600,21),"")</f>
        <v>#REF!</v>
      </c>
      <c r="BJ67" s="181" t="e">
        <f>IF(B67&lt;&gt;"",VLOOKUP(B67,'[9]IRR MES'!$C$5:$AK$600,23),"")</f>
        <v>#REF!</v>
      </c>
      <c r="BK67" s="247" t="e">
        <f>IF(B67&lt;&gt;"",VLOOKUP(B67,'[9]IRR MES'!$C$5:$AK$600,24),"")</f>
        <v>#REF!</v>
      </c>
      <c r="BL67" s="181" t="e">
        <f>IF(B67&lt;&gt;"",VLOOKUP(B67,'[9]IRR MES'!$C$5:$AK$600,26),"")</f>
        <v>#REF!</v>
      </c>
      <c r="BM67" s="247" t="e">
        <f>IF(B67&lt;&gt;"",VLOOKUP(B67,'[9]IRR MES'!$C$5:$AK$600,27),"")</f>
        <v>#REF!</v>
      </c>
      <c r="BN67" s="181" t="e">
        <f>IF(B67&lt;&gt;"",VLOOKUP(B67,'[9]IRR MES'!$C$5:$AK$600,29),"")</f>
        <v>#REF!</v>
      </c>
      <c r="BO67" s="247" t="e">
        <f>IF(B67&lt;&gt;"",VLOOKUP(B67,'[9]IRR MES'!$C$5:$AK$600,30),"")</f>
        <v>#REF!</v>
      </c>
      <c r="BP67" s="181" t="e">
        <f>IF(B67&lt;&gt;"",VLOOKUP(B67,'[9]IRR MES'!$C$5:$AK$600,32),"")</f>
        <v>#REF!</v>
      </c>
      <c r="BQ67" s="181" t="e">
        <f>IF(B67&lt;&gt;"",VLOOKUP(B67,'[9]IRR MES'!$C$5:$AK$600,33),"")</f>
        <v>#REF!</v>
      </c>
      <c r="BR67" s="181" t="e">
        <f t="shared" si="54"/>
        <v>#REF!</v>
      </c>
      <c r="BS67" s="181" t="e">
        <f>IF(B67&lt;&gt;"",VLOOKUP(B67,'[9]IRR MES'!$C$5:$AK$600,34),"")</f>
        <v>#REF!</v>
      </c>
      <c r="BT67" s="248" t="e">
        <f>IF(B67&lt;&gt;"",VLOOKUP(B67,'[9]IRR MES'!$C$1:$AK$600,4),"")</f>
        <v>#REF!</v>
      </c>
      <c r="BU67" s="248" t="e">
        <f>IF(B67&lt;&gt;"",VLOOKUP(B67,'[9]IRR MES'!$C$1:$AK$600,7),"")</f>
        <v>#REF!</v>
      </c>
      <c r="BV67" s="248" t="e">
        <f>IF(B67&lt;&gt;"",VLOOKUP(B67,'[9]IRR MES'!$C$1:$AK$600,10),"")</f>
        <v>#REF!</v>
      </c>
      <c r="BW67" s="248" t="e">
        <f>IF(B67&lt;&gt;"",VLOOKUP(B67,'[9]IRR MES'!$C$1:$AK$600,13),"")</f>
        <v>#REF!</v>
      </c>
      <c r="BX67" s="248" t="e">
        <f>IF(B67&lt;&gt;"",VLOOKUP(B67,'[9]IRR MES'!$C$1:$AK$600,16),"")</f>
        <v>#REF!</v>
      </c>
      <c r="BY67" s="248" t="e">
        <f>IF(B67&lt;&gt;"",VLOOKUP(B67,'[9]IRR MES'!$C$1:$AK$600,19),"")</f>
        <v>#REF!</v>
      </c>
      <c r="BZ67" s="248" t="e">
        <f>IF(B67&lt;&gt;"",VLOOKUP(B67,'[9]IRR MES'!$C$1:$AK$600,22),"")</f>
        <v>#REF!</v>
      </c>
      <c r="CA67" s="248" t="e">
        <f>IF(B67&lt;&gt;"",VLOOKUP(B67,'[9]IRR MES'!$C$1:$AK$600,25),"")</f>
        <v>#REF!</v>
      </c>
      <c r="CB67" s="248" t="e">
        <f>IF(B67&lt;&gt;"",VLOOKUP(B67,'[9]IRR MES'!$C$1:$AK$600,28),"")</f>
        <v>#REF!</v>
      </c>
      <c r="CC67" s="248" t="e">
        <f>IF(B67&lt;&gt;"",VLOOKUP(B67,'[9]IRR MES'!$C$1:$AK$600,31),"")</f>
        <v>#REF!</v>
      </c>
      <c r="CD67" s="249" t="e">
        <f>#REF!</f>
        <v>#REF!</v>
      </c>
    </row>
    <row r="68" spans="1:83" x14ac:dyDescent="0.2">
      <c r="A68" s="10" t="s">
        <v>60</v>
      </c>
      <c r="B68" s="50"/>
      <c r="C68" s="38"/>
      <c r="D68" s="63"/>
      <c r="E68" s="63"/>
      <c r="F68" s="60"/>
      <c r="G68" s="63"/>
      <c r="H68" s="63"/>
      <c r="I68" s="63"/>
      <c r="J68" s="63"/>
      <c r="K68" s="61"/>
      <c r="L68" s="61"/>
      <c r="M68" s="61"/>
      <c r="N68" s="60"/>
      <c r="O68" s="60"/>
      <c r="P68" s="60"/>
      <c r="Q68" s="62"/>
      <c r="R68" s="62"/>
      <c r="S68" s="63"/>
      <c r="T68" s="250"/>
      <c r="U68" s="63"/>
      <c r="V68" s="63"/>
      <c r="W68" s="63"/>
      <c r="X68" s="242"/>
      <c r="Y68" s="34"/>
      <c r="Z68" s="34"/>
      <c r="AA68" s="176"/>
      <c r="AB68" s="11"/>
      <c r="AC68" s="245"/>
      <c r="AD68" s="245"/>
      <c r="AE68" s="245"/>
      <c r="AF68" s="245"/>
      <c r="AG68" s="173"/>
      <c r="AH68" s="51"/>
      <c r="AI68" s="63"/>
      <c r="AJ68" s="246"/>
      <c r="AK68" s="181"/>
      <c r="AL68" s="181"/>
      <c r="AM68" s="181"/>
      <c r="AN68" s="181"/>
      <c r="AO68" s="181"/>
      <c r="AP68" s="181"/>
      <c r="AQ68" s="181"/>
      <c r="AR68" s="181"/>
      <c r="AS68" s="181"/>
      <c r="AT68" s="181"/>
      <c r="AU68" s="181"/>
      <c r="AV68" s="63"/>
      <c r="AW68" s="181"/>
      <c r="AX68" s="247"/>
      <c r="AY68" s="181"/>
      <c r="AZ68" s="247"/>
      <c r="BA68" s="181"/>
      <c r="BB68" s="247"/>
      <c r="BC68" s="247"/>
      <c r="BD68" s="181"/>
      <c r="BE68" s="247"/>
      <c r="BF68" s="181"/>
      <c r="BG68" s="247"/>
      <c r="BH68" s="181"/>
      <c r="BI68" s="247"/>
      <c r="BJ68" s="181"/>
      <c r="BK68" s="247"/>
      <c r="BL68" s="181"/>
      <c r="BM68" s="247"/>
      <c r="BN68" s="181"/>
      <c r="BO68" s="247"/>
      <c r="BP68" s="181"/>
      <c r="BQ68" s="181"/>
      <c r="BR68" s="181"/>
      <c r="BS68" s="181"/>
      <c r="BT68" s="248"/>
      <c r="BU68" s="248"/>
      <c r="BV68" s="248"/>
      <c r="BW68" s="248"/>
      <c r="BX68" s="248"/>
      <c r="BY68" s="248"/>
      <c r="BZ68" s="248"/>
      <c r="CA68" s="248"/>
      <c r="CB68" s="248"/>
      <c r="CC68" s="248"/>
      <c r="CD68" s="249"/>
    </row>
    <row r="69" spans="1:83" ht="6" customHeight="1" x14ac:dyDescent="0.2">
      <c r="A69" s="10" t="s">
        <v>60</v>
      </c>
      <c r="B69" s="309"/>
      <c r="C69" s="310"/>
      <c r="D69" s="174"/>
      <c r="E69" s="174"/>
      <c r="F69" s="169"/>
      <c r="G69" s="174"/>
      <c r="H69" s="174"/>
      <c r="I69" s="174"/>
      <c r="J69" s="174"/>
      <c r="K69" s="170"/>
      <c r="L69" s="170"/>
      <c r="M69" s="170"/>
      <c r="N69" s="169"/>
      <c r="O69" s="169"/>
      <c r="P69" s="169"/>
      <c r="Q69" s="171"/>
      <c r="R69" s="171"/>
      <c r="S69" s="174"/>
      <c r="T69" s="311"/>
      <c r="U69" s="174"/>
      <c r="V69" s="174"/>
      <c r="W69" s="174"/>
      <c r="X69" s="312"/>
      <c r="Y69" s="174"/>
      <c r="Z69" s="174"/>
      <c r="AA69" s="179"/>
      <c r="AB69" s="313"/>
      <c r="AC69" s="314"/>
      <c r="AD69" s="314"/>
      <c r="AE69" s="314"/>
      <c r="AF69" s="314"/>
      <c r="AG69" s="175"/>
      <c r="AH69" s="315"/>
      <c r="AI69" s="63"/>
      <c r="AJ69" s="246"/>
      <c r="AK69" s="181"/>
      <c r="AL69" s="181"/>
      <c r="AM69" s="181"/>
      <c r="AN69" s="181"/>
      <c r="AO69" s="181"/>
      <c r="AP69" s="181"/>
      <c r="AQ69" s="181"/>
      <c r="AR69" s="181"/>
      <c r="AS69" s="181"/>
      <c r="AT69" s="181"/>
      <c r="AU69" s="181"/>
      <c r="AV69" s="63"/>
      <c r="AW69" s="181"/>
      <c r="AX69" s="247"/>
      <c r="AY69" s="181"/>
      <c r="AZ69" s="247"/>
      <c r="BA69" s="181"/>
      <c r="BB69" s="247"/>
      <c r="BC69" s="247"/>
      <c r="BD69" s="181"/>
      <c r="BE69" s="247"/>
      <c r="BF69" s="181"/>
      <c r="BG69" s="247"/>
      <c r="BH69" s="181"/>
      <c r="BI69" s="247"/>
      <c r="BJ69" s="181"/>
      <c r="BK69" s="247"/>
      <c r="BL69" s="181"/>
      <c r="BM69" s="247"/>
      <c r="BN69" s="181"/>
      <c r="BO69" s="247"/>
      <c r="BP69" s="181"/>
      <c r="BQ69" s="181"/>
      <c r="BR69" s="181"/>
      <c r="BS69" s="181"/>
      <c r="BT69" s="248"/>
      <c r="BU69" s="248"/>
      <c r="BV69" s="248"/>
      <c r="BW69" s="248"/>
      <c r="BX69" s="248"/>
      <c r="BY69" s="248"/>
      <c r="BZ69" s="248"/>
      <c r="CA69" s="248"/>
      <c r="CB69" s="248"/>
      <c r="CC69" s="248"/>
      <c r="CD69" s="249"/>
    </row>
    <row r="70" spans="1:83" x14ac:dyDescent="0.2">
      <c r="A70" s="10" t="str">
        <f t="shared" si="29"/>
        <v>sim</v>
      </c>
      <c r="B70" s="52" t="s">
        <v>10</v>
      </c>
      <c r="C70" s="38"/>
      <c r="D70" s="63"/>
      <c r="E70" s="63"/>
      <c r="F70" s="60"/>
      <c r="G70" s="63"/>
      <c r="H70" s="63"/>
      <c r="I70" s="63"/>
      <c r="J70" s="63"/>
      <c r="K70" s="61"/>
      <c r="L70" s="61"/>
      <c r="M70" s="61"/>
      <c r="N70" s="60"/>
      <c r="O70" s="60"/>
      <c r="P70" s="60"/>
      <c r="Q70" s="62"/>
      <c r="R70" s="62"/>
      <c r="S70" s="63"/>
      <c r="T70" s="250"/>
      <c r="U70" s="63"/>
      <c r="V70" s="63"/>
      <c r="W70" s="63"/>
      <c r="X70" s="242"/>
      <c r="Y70" s="34"/>
      <c r="Z70" s="34"/>
      <c r="AA70" s="176" t="str">
        <f t="shared" si="36"/>
        <v/>
      </c>
      <c r="AB70" s="11"/>
      <c r="AC70" s="245"/>
      <c r="AD70" s="245"/>
      <c r="AE70" s="245"/>
      <c r="AF70" s="245"/>
      <c r="AG70" s="173"/>
      <c r="AH70" s="51"/>
      <c r="AI70" s="63"/>
      <c r="AJ70" s="246"/>
      <c r="AK70" s="181"/>
      <c r="AL70" s="181"/>
      <c r="AM70" s="181"/>
      <c r="AN70" s="181"/>
      <c r="AO70" s="181"/>
      <c r="AP70" s="181"/>
      <c r="AQ70" s="181"/>
      <c r="AR70" s="181"/>
      <c r="AS70" s="181"/>
      <c r="AT70" s="181"/>
      <c r="AU70" s="181"/>
      <c r="AV70" s="63"/>
      <c r="AW70" s="181"/>
      <c r="AX70" s="247"/>
      <c r="AY70" s="181"/>
      <c r="AZ70" s="247"/>
      <c r="BA70" s="181"/>
      <c r="BB70" s="247"/>
      <c r="BC70" s="247"/>
      <c r="BD70" s="181"/>
      <c r="BE70" s="247"/>
      <c r="BF70" s="181"/>
      <c r="BG70" s="247"/>
      <c r="BH70" s="181"/>
      <c r="BI70" s="247"/>
      <c r="BJ70" s="181"/>
      <c r="BK70" s="247"/>
      <c r="BL70" s="181"/>
      <c r="BM70" s="247"/>
      <c r="BN70" s="181"/>
      <c r="BO70" s="247"/>
      <c r="BP70" s="181"/>
      <c r="BQ70" s="181"/>
      <c r="BR70" s="181"/>
      <c r="BS70" s="181"/>
      <c r="BT70" s="248"/>
      <c r="BU70" s="248"/>
      <c r="BV70" s="248"/>
      <c r="BW70" s="248"/>
      <c r="BX70" s="248"/>
      <c r="BY70" s="248"/>
      <c r="BZ70" s="248"/>
      <c r="CA70" s="248"/>
      <c r="CB70" s="248"/>
      <c r="CC70" s="248"/>
      <c r="CD70" s="249"/>
    </row>
    <row r="71" spans="1:83" x14ac:dyDescent="0.2">
      <c r="A71" s="10" t="e">
        <f t="shared" si="29"/>
        <v>#REF!</v>
      </c>
      <c r="B71" s="65" t="e">
        <f>#REF!</f>
        <v>#REF!</v>
      </c>
      <c r="C71" s="38">
        <f>'LEVANTAMENTO DADOS'!B67</f>
        <v>0</v>
      </c>
      <c r="D71" s="63" t="e">
        <f>'BASE DE CALCULO IR'!W71</f>
        <v>#REF!</v>
      </c>
      <c r="E71" s="63"/>
      <c r="F71" s="60"/>
      <c r="G71" s="63"/>
      <c r="H71" s="63"/>
      <c r="I71" s="63"/>
      <c r="J71" s="63"/>
      <c r="K71" s="61"/>
      <c r="L71" s="61"/>
      <c r="M71" s="61"/>
      <c r="N71" s="60"/>
      <c r="O71" s="60"/>
      <c r="P71" s="60"/>
      <c r="Q71" s="62"/>
      <c r="R71" s="62" t="e">
        <f>SUM(C71:Q71)</f>
        <v>#REF!</v>
      </c>
      <c r="S71" s="63" t="e">
        <f>IF(C71&lt;&gt;"",C71+R71,R71)</f>
        <v>#REF!</v>
      </c>
      <c r="T71" s="250"/>
      <c r="U71" s="63" t="e">
        <f>IF(B71&lt;&gt;"",AI71*T71,"")</f>
        <v>#REF!</v>
      </c>
      <c r="V71" s="63" t="e">
        <f>#REF!</f>
        <v>#REF!</v>
      </c>
      <c r="W71" s="63" t="e">
        <f>IF(C71&lt;&gt;"",IF(AND(AE71&gt;0,R71&gt;0),S71-U71-V71,IF(AI71&lt;&gt;"",R71-U71-V71)),IF(C71="",IF(AI71&lt;&gt;"",R71-U71-V71)))</f>
        <v>#REF!</v>
      </c>
      <c r="X71" s="242" t="e">
        <f>SUM(D71:Q71)-U71-V71</f>
        <v>#REF!</v>
      </c>
      <c r="Y71" s="34" t="e">
        <f>AW71</f>
        <v>#REF!</v>
      </c>
      <c r="Z71" s="34" t="e">
        <f>X71</f>
        <v>#REF!</v>
      </c>
      <c r="AA71" s="176" t="e">
        <f t="shared" si="36"/>
        <v>#REF!</v>
      </c>
      <c r="AB71" s="11" t="e">
        <f>IF(W71&gt;Y71,X71*AA71,0)</f>
        <v>#REF!</v>
      </c>
      <c r="AC71" s="245" t="e">
        <f>IF(B71&lt;&gt;"",MAX(AK71:AU71),"")</f>
        <v>#REF!</v>
      </c>
      <c r="AD71" s="245" t="e">
        <f>IF(AA71&lt;&gt;"",(X71*AA71)-AC71,"ISENTO")</f>
        <v>#REF!</v>
      </c>
      <c r="AE71" s="245"/>
      <c r="AF71" s="245" t="e">
        <f>IF(AD71&lt;&gt;"isento",AD71-AE71,0)</f>
        <v>#REF!</v>
      </c>
      <c r="AG71" s="173" t="e">
        <f>CD71</f>
        <v>#REF!</v>
      </c>
      <c r="AH71" s="51" t="e">
        <f>IF(AF71&gt;0,AF71*CD71,0)</f>
        <v>#REF!</v>
      </c>
      <c r="AI71" s="63" t="e">
        <f>IF(B71&lt;&gt;"",VLOOKUP(B71,'[9]IRR MES'!$C$15:$AK$600,32),"")</f>
        <v>#REF!</v>
      </c>
      <c r="AJ71" s="246" t="e">
        <f>B71</f>
        <v>#REF!</v>
      </c>
      <c r="AK71" s="181" t="e">
        <f>IF(B71&lt;&gt;"",IF(AA71=AX71,BT71,""),"")</f>
        <v>#REF!</v>
      </c>
      <c r="AL71" s="181" t="e">
        <f>IF(B71&lt;&gt;"",IF(AA71=AZ71,BU71,""),"")</f>
        <v>#REF!</v>
      </c>
      <c r="AM71" s="181" t="e">
        <f>IF(B71&lt;&gt;"",IF(AA71=BB71,BV71,""),"")</f>
        <v>#REF!</v>
      </c>
      <c r="AN71" s="181" t="e">
        <f>IF(B71&lt;&gt;"",IF(AA71=BC71,BW71,""),"")</f>
        <v>#REF!</v>
      </c>
      <c r="AO71" s="181" t="e">
        <f>IF(B71&lt;&gt;"",IF(AA71=BE71,BX71,""),"")</f>
        <v>#REF!</v>
      </c>
      <c r="AP71" s="181" t="e">
        <f>IF(B71&lt;&gt;"",IF(AA71=BG71,BY71,""),"")</f>
        <v>#REF!</v>
      </c>
      <c r="AQ71" s="181" t="e">
        <f>IF(B71&lt;&gt;"",IF(AA71=BI71,BZ71,""),"")</f>
        <v>#REF!</v>
      </c>
      <c r="AR71" s="181" t="e">
        <f>IF(B71&lt;&gt;"",IF(AA71=BK71,CA71,""),"")</f>
        <v>#REF!</v>
      </c>
      <c r="AS71" s="181" t="e">
        <f>IF(B71&lt;&gt;"",IF(AA71=BM71,CB71,""),"")</f>
        <v>#REF!</v>
      </c>
      <c r="AT71" s="181" t="e">
        <f>IF(B71&lt;&gt;"",IF(AA71=BO71,CC71,""),"")</f>
        <v>#REF!</v>
      </c>
      <c r="AU71" s="181"/>
      <c r="AV71" s="63"/>
      <c r="AW71" s="181" t="e">
        <f>IF(B71&lt;&gt;"",VLOOKUP(B71,'[9]IRR MES'!$C$5:$AK$600,2),"")</f>
        <v>#REF!</v>
      </c>
      <c r="AX71" s="247" t="e">
        <f>IF(B71&lt;&gt;"",VLOOKUP(B71,'[9]IRR MES'!$C$5:$AK$600,3),"")</f>
        <v>#REF!</v>
      </c>
      <c r="AY71" s="181" t="e">
        <f>IF(B71&lt;&gt;"",VLOOKUP(B71,'[9]IRR MES'!$C$5:$AK$600,5),"")</f>
        <v>#REF!</v>
      </c>
      <c r="AZ71" s="247" t="e">
        <f>IF(B71&lt;&gt;"",VLOOKUP(B71,'[9]IRR MES'!$C$5:$AK$600,6),"")</f>
        <v>#REF!</v>
      </c>
      <c r="BA71" s="181" t="e">
        <f>IF(B71&lt;&gt;"",VLOOKUP(B71,'[9]IRR MES'!$C$5:$AK$600,8),"")</f>
        <v>#REF!</v>
      </c>
      <c r="BB71" s="247" t="e">
        <f>IF(B71&lt;&gt;"",VLOOKUP(B71,'[9]IRR MES'!$C$5:$AK$600,9),"")</f>
        <v>#REF!</v>
      </c>
      <c r="BC71" s="247" t="e">
        <f>IF(B71&lt;&gt;"",VLOOKUP(B71,'[9]IRR MES'!$C$5:$AK$600,12),"")</f>
        <v>#REF!</v>
      </c>
      <c r="BD71" s="181" t="e">
        <f>IF(B71&lt;&gt;"",VLOOKUP(B71,'[9]IRR MES'!$C$5:$AK$600,14),"")</f>
        <v>#REF!</v>
      </c>
      <c r="BE71" s="247" t="e">
        <f>IF(B71&lt;&gt;"",VLOOKUP(B71,'[9]IRR MES'!$C$5:$AK$600,15),"")</f>
        <v>#REF!</v>
      </c>
      <c r="BF71" s="181" t="e">
        <f>IF(B71&lt;&gt;"",VLOOKUP(B71,'[9]IRR MES'!$C$5:$AK$600,17),"")</f>
        <v>#REF!</v>
      </c>
      <c r="BG71" s="247" t="e">
        <f>IF(B71&lt;&gt;"",VLOOKUP(B71,'[9]IRR MES'!$C$5:$AK$600,18),"")</f>
        <v>#REF!</v>
      </c>
      <c r="BH71" s="181" t="e">
        <f>IF(B71&lt;&gt;"",VLOOKUP(B71,'[9]IRR MES'!$C$5:$AK$600,20),"")</f>
        <v>#REF!</v>
      </c>
      <c r="BI71" s="247" t="e">
        <f>IF(B71&lt;&gt;"",VLOOKUP(B71,'[9]IRR MES'!$C$5:$AK$600,21),"")</f>
        <v>#REF!</v>
      </c>
      <c r="BJ71" s="181" t="e">
        <f>IF(B71&lt;&gt;"",VLOOKUP(B71,'[9]IRR MES'!$C$5:$AK$600,23),"")</f>
        <v>#REF!</v>
      </c>
      <c r="BK71" s="247" t="e">
        <f>IF(B71&lt;&gt;"",VLOOKUP(B71,'[9]IRR MES'!$C$5:$AK$600,24),"")</f>
        <v>#REF!</v>
      </c>
      <c r="BL71" s="181" t="e">
        <f>IF(B71&lt;&gt;"",VLOOKUP(B71,'[9]IRR MES'!$C$5:$AK$600,26),"")</f>
        <v>#REF!</v>
      </c>
      <c r="BM71" s="247" t="e">
        <f>IF(B71&lt;&gt;"",VLOOKUP(B71,'[9]IRR MES'!$C$5:$AK$600,27),"")</f>
        <v>#REF!</v>
      </c>
      <c r="BN71" s="181" t="e">
        <f>IF(B71&lt;&gt;"",VLOOKUP(B71,'[9]IRR MES'!$C$5:$AK$600,29),"")</f>
        <v>#REF!</v>
      </c>
      <c r="BO71" s="247" t="e">
        <f>IF(B71&lt;&gt;"",VLOOKUP(B71,'[9]IRR MES'!$C$5:$AK$600,30),"")</f>
        <v>#REF!</v>
      </c>
      <c r="BP71" s="181" t="e">
        <f>IF(B71&lt;&gt;"",VLOOKUP(B71,'[9]IRR MES'!$C$5:$AK$600,32),"")</f>
        <v>#REF!</v>
      </c>
      <c r="BQ71" s="181" t="e">
        <f>IF(B71&lt;&gt;"",VLOOKUP(B71,'[9]IRR MES'!$C$5:$AK$600,33),"")</f>
        <v>#REF!</v>
      </c>
      <c r="BR71" s="181" t="e">
        <f>IF(B71&lt;&gt;"",VLOOKUP(B71,$D$5:$AO$611,34),"")</f>
        <v>#REF!</v>
      </c>
      <c r="BS71" s="181" t="e">
        <f>IF(B71&lt;&gt;"",VLOOKUP(B71,'[9]IRR MES'!$C$5:$AK$600,34),"")</f>
        <v>#REF!</v>
      </c>
      <c r="BT71" s="248" t="e">
        <f>IF(B71&lt;&gt;"",VLOOKUP(B71,'[9]IRR MES'!$C$1:$AK$600,4),"")</f>
        <v>#REF!</v>
      </c>
      <c r="BU71" s="248" t="e">
        <f>IF(B71&lt;&gt;"",VLOOKUP(B71,'[9]IRR MES'!$C$1:$AK$600,7),"")</f>
        <v>#REF!</v>
      </c>
      <c r="BV71" s="248" t="e">
        <f>IF(B71&lt;&gt;"",VLOOKUP(B71,'[9]IRR MES'!$C$1:$AK$600,10),"")</f>
        <v>#REF!</v>
      </c>
      <c r="BW71" s="248" t="e">
        <f>IF(B71&lt;&gt;"",VLOOKUP(B71,'[9]IRR MES'!$C$1:$AK$600,13),"")</f>
        <v>#REF!</v>
      </c>
      <c r="BX71" s="248" t="e">
        <f>IF(B71&lt;&gt;"",VLOOKUP(B71,'[9]IRR MES'!$C$1:$AK$600,16),"")</f>
        <v>#REF!</v>
      </c>
      <c r="BY71" s="248" t="e">
        <f>IF(B71&lt;&gt;"",VLOOKUP(B71,'[9]IRR MES'!$C$1:$AK$600,19),"")</f>
        <v>#REF!</v>
      </c>
      <c r="BZ71" s="248" t="e">
        <f>IF(B71&lt;&gt;"",VLOOKUP(B71,'[9]IRR MES'!$C$1:$AK$600,22),"")</f>
        <v>#REF!</v>
      </c>
      <c r="CA71" s="248" t="e">
        <f>IF(B71&lt;&gt;"",VLOOKUP(B71,'[9]IRR MES'!$C$1:$AK$600,25),"")</f>
        <v>#REF!</v>
      </c>
      <c r="CB71" s="248" t="e">
        <f>IF(B71&lt;&gt;"",VLOOKUP(B71,'[9]IRR MES'!$C$1:$AK$600,28),"")</f>
        <v>#REF!</v>
      </c>
      <c r="CC71" s="248" t="e">
        <f>IF(B71&lt;&gt;"",VLOOKUP(B71,'[9]IRR MES'!$C$1:$AK$600,31),"")</f>
        <v>#REF!</v>
      </c>
      <c r="CD71" s="249" t="e">
        <f>VLOOKUP(B71,#REF!,2)</f>
        <v>#REF!</v>
      </c>
      <c r="CE71" s="44"/>
    </row>
    <row r="72" spans="1:83" x14ac:dyDescent="0.2">
      <c r="A72" s="10" t="e">
        <f t="shared" si="29"/>
        <v>#REF!</v>
      </c>
      <c r="B72" s="65" t="e">
        <f>#REF!</f>
        <v>#REF!</v>
      </c>
      <c r="C72" s="38">
        <f>'LEVANTAMENTO DADOS'!B68</f>
        <v>583.30999999999995</v>
      </c>
      <c r="D72" s="63" t="e">
        <f>'BASE DE CALCULO IR'!W72</f>
        <v>#REF!</v>
      </c>
      <c r="E72" s="63"/>
      <c r="F72" s="60"/>
      <c r="G72" s="63"/>
      <c r="H72" s="63"/>
      <c r="I72" s="63"/>
      <c r="J72" s="63"/>
      <c r="K72" s="61"/>
      <c r="L72" s="61"/>
      <c r="M72" s="61"/>
      <c r="N72" s="60"/>
      <c r="O72" s="60"/>
      <c r="P72" s="60"/>
      <c r="Q72" s="62"/>
      <c r="R72" s="62" t="e">
        <f>SUM(C72:Q72)</f>
        <v>#REF!</v>
      </c>
      <c r="S72" s="63" t="e">
        <f>IF(C72&lt;&gt;"",C72+R72,R72)</f>
        <v>#REF!</v>
      </c>
      <c r="T72" s="250"/>
      <c r="U72" s="63" t="e">
        <f>IF(B72&lt;&gt;"",AI72*T72,"")</f>
        <v>#REF!</v>
      </c>
      <c r="V72" s="63" t="e">
        <f>#REF!</f>
        <v>#REF!</v>
      </c>
      <c r="W72" s="63" t="e">
        <f>IF(C72&lt;&gt;"",IF(AND(AE72&gt;0,R72&gt;0),S72-U72-V72,IF(AI72&lt;&gt;"",R72-U72-V72)),IF(C72="",IF(AI72&lt;&gt;"",R72-U72-V72)))</f>
        <v>#REF!</v>
      </c>
      <c r="X72" s="242" t="e">
        <f>SUM(D72:Q72)-U72-V72</f>
        <v>#REF!</v>
      </c>
      <c r="Y72" s="34" t="e">
        <f>AW72</f>
        <v>#REF!</v>
      </c>
      <c r="Z72" s="34" t="e">
        <f>X72</f>
        <v>#REF!</v>
      </c>
      <c r="AA72" s="176" t="e">
        <f>IF(B72&lt;&gt;"",IF(R72&gt;Y72,LOOKUP(R72,AW72:BO72,AW72:BS72),""),"")</f>
        <v>#REF!</v>
      </c>
      <c r="AB72" s="11" t="e">
        <f>IF(W72&gt;Y72,X72*AA72,0)</f>
        <v>#REF!</v>
      </c>
      <c r="AC72" s="245" t="e">
        <f>IF(B72&lt;&gt;"",MAX(AK72:AU72),"")</f>
        <v>#REF!</v>
      </c>
      <c r="AD72" s="245" t="e">
        <f>IF(AA72&lt;&gt;"",(X72*AA72)-AC72,"ISENTO")</f>
        <v>#REF!</v>
      </c>
      <c r="AE72" s="245"/>
      <c r="AF72" s="245" t="e">
        <f>IF(AD72&lt;&gt;"isento",AD72-AE72,0)</f>
        <v>#REF!</v>
      </c>
      <c r="AG72" s="173" t="e">
        <f>CD72</f>
        <v>#REF!</v>
      </c>
      <c r="AH72" s="51" t="e">
        <f>IF(AF72&gt;0,AF72*CD72,0)</f>
        <v>#REF!</v>
      </c>
      <c r="AI72" s="63" t="e">
        <f>IF(B72&lt;&gt;"",VLOOKUP(B72,'[9]IRR MES'!$C$15:$AK$600,32),"")</f>
        <v>#REF!</v>
      </c>
      <c r="AJ72" s="246" t="e">
        <f>B72</f>
        <v>#REF!</v>
      </c>
      <c r="AK72" s="181" t="e">
        <f>IF(B72&lt;&gt;"",IF(AA72=AX72,BT72,""),"")</f>
        <v>#REF!</v>
      </c>
      <c r="AL72" s="181" t="e">
        <f>IF(B72&lt;&gt;"",IF(AA72=AZ72,BU72,""),"")</f>
        <v>#REF!</v>
      </c>
      <c r="AM72" s="181" t="e">
        <f>IF(B72&lt;&gt;"",IF(AA72=BB72,BV72,""),"")</f>
        <v>#REF!</v>
      </c>
      <c r="AN72" s="181" t="e">
        <f>IF(B72&lt;&gt;"",IF(AA72=BC72,BW72,""),"")</f>
        <v>#REF!</v>
      </c>
      <c r="AO72" s="181" t="e">
        <f>IF(B72&lt;&gt;"",IF(AA72=BE72,BX72,""),"")</f>
        <v>#REF!</v>
      </c>
      <c r="AP72" s="181" t="e">
        <f>IF(B72&lt;&gt;"",IF(AA72=BG72,BY72,""),"")</f>
        <v>#REF!</v>
      </c>
      <c r="AQ72" s="181" t="e">
        <f>IF(B72&lt;&gt;"",IF(AA72=BI72,BZ72,""),"")</f>
        <v>#REF!</v>
      </c>
      <c r="AR72" s="181" t="e">
        <f>IF(B72&lt;&gt;"",IF(AA72=BK72,CA72,""),"")</f>
        <v>#REF!</v>
      </c>
      <c r="AS72" s="181" t="e">
        <f>IF(B72&lt;&gt;"",IF(AA72=BM72,CB72,""),"")</f>
        <v>#REF!</v>
      </c>
      <c r="AT72" s="181" t="e">
        <f>IF(B72&lt;&gt;"",IF(AA72=BO72,CC72,""),"")</f>
        <v>#REF!</v>
      </c>
      <c r="AU72" s="181"/>
      <c r="AV72" s="63"/>
      <c r="AW72" s="181" t="e">
        <f>IF(B72&lt;&gt;"",VLOOKUP(B72,'[9]IRR MES'!$C$5:$AK$600,2),"")</f>
        <v>#REF!</v>
      </c>
      <c r="AX72" s="247" t="e">
        <f>IF(B72&lt;&gt;"",VLOOKUP(B72,'[9]IRR MES'!$C$5:$AK$600,3),"")</f>
        <v>#REF!</v>
      </c>
      <c r="AY72" s="181" t="e">
        <f>IF(B72&lt;&gt;"",VLOOKUP(B72,'[9]IRR MES'!$C$5:$AK$600,5),"")</f>
        <v>#REF!</v>
      </c>
      <c r="AZ72" s="247" t="e">
        <f>IF(B72&lt;&gt;"",VLOOKUP(B72,'[9]IRR MES'!$C$5:$AK$600,6),"")</f>
        <v>#REF!</v>
      </c>
      <c r="BA72" s="181" t="e">
        <f>IF(B72&lt;&gt;"",VLOOKUP(B72,'[9]IRR MES'!$C$5:$AK$600,8),"")</f>
        <v>#REF!</v>
      </c>
      <c r="BB72" s="247" t="e">
        <f>IF(B72&lt;&gt;"",VLOOKUP(B72,'[9]IRR MES'!$C$5:$AK$600,9),"")</f>
        <v>#REF!</v>
      </c>
      <c r="BC72" s="247" t="e">
        <f>IF(B72&lt;&gt;"",VLOOKUP(B72,'[9]IRR MES'!$C$5:$AK$600,12),"")</f>
        <v>#REF!</v>
      </c>
      <c r="BD72" s="181" t="e">
        <f>IF(B72&lt;&gt;"",VLOOKUP(B72,'[9]IRR MES'!$C$5:$AK$600,14),"")</f>
        <v>#REF!</v>
      </c>
      <c r="BE72" s="247" t="e">
        <f>IF(B72&lt;&gt;"",VLOOKUP(B72,'[9]IRR MES'!$C$5:$AK$600,15),"")</f>
        <v>#REF!</v>
      </c>
      <c r="BF72" s="181" t="e">
        <f>IF(B72&lt;&gt;"",VLOOKUP(B72,'[9]IRR MES'!$C$5:$AK$600,17),"")</f>
        <v>#REF!</v>
      </c>
      <c r="BG72" s="247" t="e">
        <f>IF(B72&lt;&gt;"",VLOOKUP(B72,'[9]IRR MES'!$C$5:$AK$600,18),"")</f>
        <v>#REF!</v>
      </c>
      <c r="BH72" s="181" t="e">
        <f>IF(B72&lt;&gt;"",VLOOKUP(B72,'[9]IRR MES'!$C$5:$AK$600,20),"")</f>
        <v>#REF!</v>
      </c>
      <c r="BI72" s="247" t="e">
        <f>IF(B72&lt;&gt;"",VLOOKUP(B72,'[9]IRR MES'!$C$5:$AK$600,21),"")</f>
        <v>#REF!</v>
      </c>
      <c r="BJ72" s="181" t="e">
        <f>IF(B72&lt;&gt;"",VLOOKUP(B72,'[9]IRR MES'!$C$5:$AK$600,23),"")</f>
        <v>#REF!</v>
      </c>
      <c r="BK72" s="247" t="e">
        <f>IF(B72&lt;&gt;"",VLOOKUP(B72,'[9]IRR MES'!$C$5:$AK$600,24),"")</f>
        <v>#REF!</v>
      </c>
      <c r="BL72" s="181" t="e">
        <f>IF(B72&lt;&gt;"",VLOOKUP(B72,'[9]IRR MES'!$C$5:$AK$600,26),"")</f>
        <v>#REF!</v>
      </c>
      <c r="BM72" s="247" t="e">
        <f>IF(B72&lt;&gt;"",VLOOKUP(B72,'[9]IRR MES'!$C$5:$AK$600,27),"")</f>
        <v>#REF!</v>
      </c>
      <c r="BN72" s="181" t="e">
        <f>IF(B72&lt;&gt;"",VLOOKUP(B72,'[9]IRR MES'!$C$5:$AK$600,29),"")</f>
        <v>#REF!</v>
      </c>
      <c r="BO72" s="247" t="e">
        <f>IF(B72&lt;&gt;"",VLOOKUP(B72,'[9]IRR MES'!$C$5:$AK$600,30),"")</f>
        <v>#REF!</v>
      </c>
      <c r="BP72" s="181" t="e">
        <f>IF(B72&lt;&gt;"",VLOOKUP(B72,'[9]IRR MES'!$C$5:$AK$600,32),"")</f>
        <v>#REF!</v>
      </c>
      <c r="BQ72" s="181" t="e">
        <f>IF(B72&lt;&gt;"",VLOOKUP(B72,'[9]IRR MES'!$C$5:$AK$600,33),"")</f>
        <v>#REF!</v>
      </c>
      <c r="BR72" s="181" t="e">
        <f>IF(B72&lt;&gt;"",VLOOKUP(B72,$D$5:$AO$611,34),"")</f>
        <v>#REF!</v>
      </c>
      <c r="BS72" s="181" t="e">
        <f>IF(B72&lt;&gt;"",VLOOKUP(B72,'[9]IRR MES'!$C$5:$AK$600,34),"")</f>
        <v>#REF!</v>
      </c>
      <c r="BT72" s="248" t="e">
        <f>IF(B72&lt;&gt;"",VLOOKUP(B72,'[9]IRR MES'!$C$1:$AK$600,4),"")</f>
        <v>#REF!</v>
      </c>
      <c r="BU72" s="248" t="e">
        <f>IF(B72&lt;&gt;"",VLOOKUP(B72,'[9]IRR MES'!$C$1:$AK$600,7),"")</f>
        <v>#REF!</v>
      </c>
      <c r="BV72" s="248" t="e">
        <f>IF(B72&lt;&gt;"",VLOOKUP(B72,'[9]IRR MES'!$C$1:$AK$600,10),"")</f>
        <v>#REF!</v>
      </c>
      <c r="BW72" s="248" t="e">
        <f>IF(B72&lt;&gt;"",VLOOKUP(B72,'[9]IRR MES'!$C$1:$AK$600,13),"")</f>
        <v>#REF!</v>
      </c>
      <c r="BX72" s="248" t="e">
        <f>IF(B72&lt;&gt;"",VLOOKUP(B72,'[9]IRR MES'!$C$1:$AK$600,16),"")</f>
        <v>#REF!</v>
      </c>
      <c r="BY72" s="248" t="e">
        <f>IF(B72&lt;&gt;"",VLOOKUP(B72,'[9]IRR MES'!$C$1:$AK$600,19),"")</f>
        <v>#REF!</v>
      </c>
      <c r="BZ72" s="248" t="e">
        <f>IF(B72&lt;&gt;"",VLOOKUP(B72,'[9]IRR MES'!$C$1:$AK$600,22),"")</f>
        <v>#REF!</v>
      </c>
      <c r="CA72" s="248" t="e">
        <f>IF(B72&lt;&gt;"",VLOOKUP(B72,'[9]IRR MES'!$C$1:$AK$600,25),"")</f>
        <v>#REF!</v>
      </c>
      <c r="CB72" s="248" t="e">
        <f>IF(B72&lt;&gt;"",VLOOKUP(B72,'[9]IRR MES'!$C$1:$AK$600,28),"")</f>
        <v>#REF!</v>
      </c>
      <c r="CC72" s="248" t="e">
        <f>IF(B72&lt;&gt;"",VLOOKUP(B72,'[9]IRR MES'!$C$1:$AK$600,31),"")</f>
        <v>#REF!</v>
      </c>
      <c r="CD72" s="249" t="e">
        <f>VLOOKUP(B72,#REF!,2)</f>
        <v>#REF!</v>
      </c>
      <c r="CE72" s="44"/>
    </row>
    <row r="73" spans="1:83" x14ac:dyDescent="0.2">
      <c r="A73" s="10" t="e">
        <f t="shared" si="29"/>
        <v>#REF!</v>
      </c>
      <c r="B73" s="65" t="e">
        <f>#REF!</f>
        <v>#REF!</v>
      </c>
      <c r="C73" s="38">
        <f>'LEVANTAMENTO DADOS'!B69</f>
        <v>2630.66</v>
      </c>
      <c r="D73" s="63" t="e">
        <f>'BASE DE CALCULO IR'!W73</f>
        <v>#REF!</v>
      </c>
      <c r="E73" s="63"/>
      <c r="F73" s="60"/>
      <c r="G73" s="63"/>
      <c r="H73" s="63"/>
      <c r="I73" s="63"/>
      <c r="J73" s="63"/>
      <c r="K73" s="61"/>
      <c r="L73" s="61"/>
      <c r="M73" s="61"/>
      <c r="N73" s="60"/>
      <c r="O73" s="60"/>
      <c r="P73" s="60"/>
      <c r="Q73" s="62"/>
      <c r="R73" s="62" t="e">
        <f>SUM(C73:Q73)</f>
        <v>#REF!</v>
      </c>
      <c r="S73" s="63" t="e">
        <f>IF(C73&lt;&gt;"",C73+R73,R73)</f>
        <v>#REF!</v>
      </c>
      <c r="T73" s="250"/>
      <c r="U73" s="63" t="e">
        <f>IF(B73&lt;&gt;"",AI73*T73,"")</f>
        <v>#REF!</v>
      </c>
      <c r="V73" s="63" t="e">
        <f>#REF!</f>
        <v>#REF!</v>
      </c>
      <c r="W73" s="63" t="e">
        <f>IF(C73&lt;&gt;"",IF(AND(AE73&gt;0,R73&gt;0),S73-U73-V73,IF(AI73&lt;&gt;"",R73-U73-V73)),IF(C73="",IF(AI73&lt;&gt;"",R73-U73-V73)))</f>
        <v>#REF!</v>
      </c>
      <c r="X73" s="242" t="e">
        <f>SUM(D73:Q73)-U73-V73</f>
        <v>#REF!</v>
      </c>
      <c r="Y73" s="34" t="e">
        <f>AW73</f>
        <v>#REF!</v>
      </c>
      <c r="Z73" s="34" t="e">
        <f>X73</f>
        <v>#REF!</v>
      </c>
      <c r="AA73" s="176" t="e">
        <f>IF(B73&lt;&gt;"",IF(R73&gt;Y73,LOOKUP(R73,AW73:BO73,AW73:BS73),""),"")</f>
        <v>#REF!</v>
      </c>
      <c r="AB73" s="11" t="e">
        <f>IF(W73&gt;Y73,X73*AA73,0)</f>
        <v>#REF!</v>
      </c>
      <c r="AC73" s="245" t="e">
        <f>IF(B73&lt;&gt;"",MAX(AK73:AU73),"")</f>
        <v>#REF!</v>
      </c>
      <c r="AD73" s="245" t="e">
        <f>IF(AA73&lt;&gt;"",(X73*AA73)-AC73,"ISENTO")</f>
        <v>#REF!</v>
      </c>
      <c r="AE73" s="245"/>
      <c r="AF73" s="245" t="e">
        <f>IF(AD73&lt;&gt;"isento",AD73-AE73,0)</f>
        <v>#REF!</v>
      </c>
      <c r="AG73" s="173" t="e">
        <f>CD73</f>
        <v>#REF!</v>
      </c>
      <c r="AH73" s="51" t="e">
        <f>IF(AF73&gt;0,AF73*CD73,0)</f>
        <v>#REF!</v>
      </c>
      <c r="AI73" s="63" t="e">
        <f>IF(B73&lt;&gt;"",VLOOKUP(B73,'[9]IRR MES'!$C$15:$AK$600,32),"")</f>
        <v>#REF!</v>
      </c>
      <c r="AJ73" s="246" t="e">
        <f>B73</f>
        <v>#REF!</v>
      </c>
      <c r="AK73" s="181" t="e">
        <f>IF(B73&lt;&gt;"",IF(AA73=AX73,BT73,""),"")</f>
        <v>#REF!</v>
      </c>
      <c r="AL73" s="181" t="e">
        <f>IF(B73&lt;&gt;"",IF(AA73=AZ73,BU73,""),"")</f>
        <v>#REF!</v>
      </c>
      <c r="AM73" s="181" t="e">
        <f>IF(B73&lt;&gt;"",IF(AA73=BB73,BV73,""),"")</f>
        <v>#REF!</v>
      </c>
      <c r="AN73" s="181" t="e">
        <f>IF(B73&lt;&gt;"",IF(AA73=BC73,BW73,""),"")</f>
        <v>#REF!</v>
      </c>
      <c r="AO73" s="181" t="e">
        <f>IF(B73&lt;&gt;"",IF(AA73=BE73,BX73,""),"")</f>
        <v>#REF!</v>
      </c>
      <c r="AP73" s="181" t="e">
        <f>IF(B73&lt;&gt;"",IF(AA73=BG73,BY73,""),"")</f>
        <v>#REF!</v>
      </c>
      <c r="AQ73" s="181" t="e">
        <f>IF(B73&lt;&gt;"",IF(AA73=BI73,BZ73,""),"")</f>
        <v>#REF!</v>
      </c>
      <c r="AR73" s="181" t="e">
        <f>IF(B73&lt;&gt;"",IF(AA73=BK73,CA73,""),"")</f>
        <v>#REF!</v>
      </c>
      <c r="AS73" s="181" t="e">
        <f>IF(B73&lt;&gt;"",IF(AA73=BM73,CB73,""),"")</f>
        <v>#REF!</v>
      </c>
      <c r="AT73" s="181" t="e">
        <f>IF(B73&lt;&gt;"",IF(AA73=BO73,CC73,""),"")</f>
        <v>#REF!</v>
      </c>
      <c r="AU73" s="181"/>
      <c r="AV73" s="63"/>
      <c r="AW73" s="181" t="e">
        <f>IF(B73&lt;&gt;"",VLOOKUP(B73,'[9]IRR MES'!$C$5:$AK$600,2),"")</f>
        <v>#REF!</v>
      </c>
      <c r="AX73" s="247" t="e">
        <f>IF(B73&lt;&gt;"",VLOOKUP(B73,'[9]IRR MES'!$C$5:$AK$600,3),"")</f>
        <v>#REF!</v>
      </c>
      <c r="AY73" s="181" t="e">
        <f>IF(B73&lt;&gt;"",VLOOKUP(B73,'[9]IRR MES'!$C$5:$AK$600,5),"")</f>
        <v>#REF!</v>
      </c>
      <c r="AZ73" s="247" t="e">
        <f>IF(B73&lt;&gt;"",VLOOKUP(B73,'[9]IRR MES'!$C$5:$AK$600,6),"")</f>
        <v>#REF!</v>
      </c>
      <c r="BA73" s="181" t="e">
        <f>IF(B73&lt;&gt;"",VLOOKUP(B73,'[9]IRR MES'!$C$5:$AK$600,8),"")</f>
        <v>#REF!</v>
      </c>
      <c r="BB73" s="247" t="e">
        <f>IF(B73&lt;&gt;"",VLOOKUP(B73,'[9]IRR MES'!$C$5:$AK$600,9),"")</f>
        <v>#REF!</v>
      </c>
      <c r="BC73" s="247" t="e">
        <f>IF(B73&lt;&gt;"",VLOOKUP(B73,'[9]IRR MES'!$C$5:$AK$600,12),"")</f>
        <v>#REF!</v>
      </c>
      <c r="BD73" s="181" t="e">
        <f>IF(B73&lt;&gt;"",VLOOKUP(B73,'[9]IRR MES'!$C$5:$AK$600,14),"")</f>
        <v>#REF!</v>
      </c>
      <c r="BE73" s="247" t="e">
        <f>IF(B73&lt;&gt;"",VLOOKUP(B73,'[9]IRR MES'!$C$5:$AK$600,15),"")</f>
        <v>#REF!</v>
      </c>
      <c r="BF73" s="181" t="e">
        <f>IF(B73&lt;&gt;"",VLOOKUP(B73,'[9]IRR MES'!$C$5:$AK$600,17),"")</f>
        <v>#REF!</v>
      </c>
      <c r="BG73" s="247" t="e">
        <f>IF(B73&lt;&gt;"",VLOOKUP(B73,'[9]IRR MES'!$C$5:$AK$600,18),"")</f>
        <v>#REF!</v>
      </c>
      <c r="BH73" s="181" t="e">
        <f>IF(B73&lt;&gt;"",VLOOKUP(B73,'[9]IRR MES'!$C$5:$AK$600,20),"")</f>
        <v>#REF!</v>
      </c>
      <c r="BI73" s="247" t="e">
        <f>IF(B73&lt;&gt;"",VLOOKUP(B73,'[9]IRR MES'!$C$5:$AK$600,21),"")</f>
        <v>#REF!</v>
      </c>
      <c r="BJ73" s="181" t="e">
        <f>IF(B73&lt;&gt;"",VLOOKUP(B73,'[9]IRR MES'!$C$5:$AK$600,23),"")</f>
        <v>#REF!</v>
      </c>
      <c r="BK73" s="247" t="e">
        <f>IF(B73&lt;&gt;"",VLOOKUP(B73,'[9]IRR MES'!$C$5:$AK$600,24),"")</f>
        <v>#REF!</v>
      </c>
      <c r="BL73" s="181" t="e">
        <f>IF(B73&lt;&gt;"",VLOOKUP(B73,'[9]IRR MES'!$C$5:$AK$600,26),"")</f>
        <v>#REF!</v>
      </c>
      <c r="BM73" s="247" t="e">
        <f>IF(B73&lt;&gt;"",VLOOKUP(B73,'[9]IRR MES'!$C$5:$AK$600,27),"")</f>
        <v>#REF!</v>
      </c>
      <c r="BN73" s="181" t="e">
        <f>IF(B73&lt;&gt;"",VLOOKUP(B73,'[9]IRR MES'!$C$5:$AK$600,29),"")</f>
        <v>#REF!</v>
      </c>
      <c r="BO73" s="247" t="e">
        <f>IF(B73&lt;&gt;"",VLOOKUP(B73,'[9]IRR MES'!$C$5:$AK$600,30),"")</f>
        <v>#REF!</v>
      </c>
      <c r="BP73" s="181" t="e">
        <f>IF(B73&lt;&gt;"",VLOOKUP(B73,'[9]IRR MES'!$C$5:$AK$600,32),"")</f>
        <v>#REF!</v>
      </c>
      <c r="BQ73" s="181" t="e">
        <f>IF(B73&lt;&gt;"",VLOOKUP(B73,'[9]IRR MES'!$C$5:$AK$600,33),"")</f>
        <v>#REF!</v>
      </c>
      <c r="BR73" s="181" t="e">
        <f>IF(B73&lt;&gt;"",VLOOKUP(B73,$D$5:$AO$611,34),"")</f>
        <v>#REF!</v>
      </c>
      <c r="BS73" s="181" t="e">
        <f>IF(B73&lt;&gt;"",VLOOKUP(B73,'[9]IRR MES'!$C$5:$AK$600,34),"")</f>
        <v>#REF!</v>
      </c>
      <c r="BT73" s="248" t="e">
        <f>IF(B73&lt;&gt;"",VLOOKUP(B73,'[9]IRR MES'!$C$1:$AK$600,4),"")</f>
        <v>#REF!</v>
      </c>
      <c r="BU73" s="248" t="e">
        <f>IF(B73&lt;&gt;"",VLOOKUP(B73,'[9]IRR MES'!$C$1:$AK$600,7),"")</f>
        <v>#REF!</v>
      </c>
      <c r="BV73" s="248" t="e">
        <f>IF(B73&lt;&gt;"",VLOOKUP(B73,'[9]IRR MES'!$C$1:$AK$600,10),"")</f>
        <v>#REF!</v>
      </c>
      <c r="BW73" s="248" t="e">
        <f>IF(B73&lt;&gt;"",VLOOKUP(B73,'[9]IRR MES'!$C$1:$AK$600,13),"")</f>
        <v>#REF!</v>
      </c>
      <c r="BX73" s="248" t="e">
        <f>IF(B73&lt;&gt;"",VLOOKUP(B73,'[9]IRR MES'!$C$1:$AK$600,16),"")</f>
        <v>#REF!</v>
      </c>
      <c r="BY73" s="248" t="e">
        <f>IF(B73&lt;&gt;"",VLOOKUP(B73,'[9]IRR MES'!$C$1:$AK$600,19),"")</f>
        <v>#REF!</v>
      </c>
      <c r="BZ73" s="248" t="e">
        <f>IF(B73&lt;&gt;"",VLOOKUP(B73,'[9]IRR MES'!$C$1:$AK$600,22),"")</f>
        <v>#REF!</v>
      </c>
      <c r="CA73" s="248" t="e">
        <f>IF(B73&lt;&gt;"",VLOOKUP(B73,'[9]IRR MES'!$C$1:$AK$600,25),"")</f>
        <v>#REF!</v>
      </c>
      <c r="CB73" s="248" t="e">
        <f>IF(B73&lt;&gt;"",VLOOKUP(B73,'[9]IRR MES'!$C$1:$AK$600,28),"")</f>
        <v>#REF!</v>
      </c>
      <c r="CC73" s="248" t="e">
        <f>IF(B73&lt;&gt;"",VLOOKUP(B73,'[9]IRR MES'!$C$1:$AK$600,31),"")</f>
        <v>#REF!</v>
      </c>
      <c r="CD73" s="249" t="e">
        <f>VLOOKUP(B73,#REF!,2)</f>
        <v>#REF!</v>
      </c>
      <c r="CE73" s="44"/>
    </row>
    <row r="74" spans="1:83" x14ac:dyDescent="0.2">
      <c r="A74" s="10" t="e">
        <f t="shared" si="29"/>
        <v>#REF!</v>
      </c>
      <c r="B74" s="65" t="e">
        <f>#REF!</f>
        <v>#REF!</v>
      </c>
      <c r="C74" s="38">
        <f>'LEVANTAMENTO DADOS'!B70</f>
        <v>3346.91</v>
      </c>
      <c r="D74" s="63" t="e">
        <f>'BASE DE CALCULO IR'!W74</f>
        <v>#REF!</v>
      </c>
      <c r="E74" s="63"/>
      <c r="F74" s="60"/>
      <c r="G74" s="63"/>
      <c r="H74" s="63"/>
      <c r="I74" s="63"/>
      <c r="J74" s="63"/>
      <c r="K74" s="61"/>
      <c r="L74" s="61"/>
      <c r="M74" s="61"/>
      <c r="N74" s="60"/>
      <c r="O74" s="60"/>
      <c r="P74" s="60"/>
      <c r="Q74" s="62"/>
      <c r="R74" s="62" t="e">
        <f>SUM(C74:Q74)</f>
        <v>#REF!</v>
      </c>
      <c r="S74" s="63" t="e">
        <f>IF(C74&lt;&gt;"",C74+R74,R74)</f>
        <v>#REF!</v>
      </c>
      <c r="T74" s="250"/>
      <c r="U74" s="63" t="e">
        <f>IF(B74&lt;&gt;"",AI74*T74,"")</f>
        <v>#REF!</v>
      </c>
      <c r="V74" s="63" t="e">
        <f>#REF!</f>
        <v>#REF!</v>
      </c>
      <c r="W74" s="63" t="e">
        <f>IF(C74&lt;&gt;"",IF(AND(AE74&gt;0,R74&gt;0),S74-U74-V74,IF(AI74&lt;&gt;"",R74-U74-V74)),IF(C74="",IF(AI74&lt;&gt;"",R74-U74-V74)))</f>
        <v>#REF!</v>
      </c>
      <c r="X74" s="242" t="e">
        <f>SUM(D74:Q74)-U74-V74</f>
        <v>#REF!</v>
      </c>
      <c r="Y74" s="34" t="e">
        <f>AW74</f>
        <v>#REF!</v>
      </c>
      <c r="Z74" s="34" t="e">
        <f>X74</f>
        <v>#REF!</v>
      </c>
      <c r="AA74" s="176" t="e">
        <f>IF(B74&lt;&gt;"",IF(R74&gt;Y74,LOOKUP(R74,AW74:BO74,AW74:BS74),""),"")</f>
        <v>#REF!</v>
      </c>
      <c r="AB74" s="11" t="e">
        <f>IF(W74&gt;Y74,X74*AA74,0)</f>
        <v>#REF!</v>
      </c>
      <c r="AC74" s="245" t="e">
        <f>IF(B74&lt;&gt;"",MAX(AK74:AU74),"")</f>
        <v>#REF!</v>
      </c>
      <c r="AD74" s="245" t="e">
        <f>IF(AA74&lt;&gt;"",(X74*AA74)-AC74,"ISENTO")</f>
        <v>#REF!</v>
      </c>
      <c r="AE74" s="245"/>
      <c r="AF74" s="245" t="e">
        <f>IF(AD74&lt;&gt;"isento",AD74-AE74,0)</f>
        <v>#REF!</v>
      </c>
      <c r="AG74" s="173" t="e">
        <f>CD74</f>
        <v>#REF!</v>
      </c>
      <c r="AH74" s="51" t="e">
        <f>IF(AF74&gt;0,AF74*CD74,0)</f>
        <v>#REF!</v>
      </c>
      <c r="AI74" s="63" t="e">
        <f>IF(B74&lt;&gt;"",VLOOKUP(B74,'[9]IRR MES'!$C$15:$AK$600,32),"")</f>
        <v>#REF!</v>
      </c>
      <c r="AJ74" s="246" t="e">
        <f>B74</f>
        <v>#REF!</v>
      </c>
      <c r="AK74" s="181" t="e">
        <f>IF(B74&lt;&gt;"",IF(AA74=AX74,BT74,""),"")</f>
        <v>#REF!</v>
      </c>
      <c r="AL74" s="181" t="e">
        <f>IF(B74&lt;&gt;"",IF(AA74=AZ74,BU74,""),"")</f>
        <v>#REF!</v>
      </c>
      <c r="AM74" s="181" t="e">
        <f>IF(B74&lt;&gt;"",IF(AA74=BB74,BV74,""),"")</f>
        <v>#REF!</v>
      </c>
      <c r="AN74" s="181" t="e">
        <f>IF(B74&lt;&gt;"",IF(AA74=BC74,BW74,""),"")</f>
        <v>#REF!</v>
      </c>
      <c r="AO74" s="181" t="e">
        <f>IF(B74&lt;&gt;"",IF(AA74=BE74,BX74,""),"")</f>
        <v>#REF!</v>
      </c>
      <c r="AP74" s="181" t="e">
        <f>IF(B74&lt;&gt;"",IF(AA74=BG74,BY74,""),"")</f>
        <v>#REF!</v>
      </c>
      <c r="AQ74" s="181" t="e">
        <f>IF(B74&lt;&gt;"",IF(AA74=BI74,BZ74,""),"")</f>
        <v>#REF!</v>
      </c>
      <c r="AR74" s="181" t="e">
        <f>IF(B74&lt;&gt;"",IF(AA74=BK74,CA74,""),"")</f>
        <v>#REF!</v>
      </c>
      <c r="AS74" s="181" t="e">
        <f>IF(B74&lt;&gt;"",IF(AA74=BM74,CB74,""),"")</f>
        <v>#REF!</v>
      </c>
      <c r="AT74" s="181" t="e">
        <f>IF(B74&lt;&gt;"",IF(AA74=BO74,CC74,""),"")</f>
        <v>#REF!</v>
      </c>
      <c r="AU74" s="181"/>
      <c r="AV74" s="63"/>
      <c r="AW74" s="181" t="e">
        <f>IF(B74&lt;&gt;"",VLOOKUP(B74,'[9]IRR MES'!$C$5:$AK$600,2),"")</f>
        <v>#REF!</v>
      </c>
      <c r="AX74" s="247" t="e">
        <f>IF(B74&lt;&gt;"",VLOOKUP(B74,'[9]IRR MES'!$C$5:$AK$600,3),"")</f>
        <v>#REF!</v>
      </c>
      <c r="AY74" s="181" t="e">
        <f>IF(B74&lt;&gt;"",VLOOKUP(B74,'[9]IRR MES'!$C$5:$AK$600,5),"")</f>
        <v>#REF!</v>
      </c>
      <c r="AZ74" s="247" t="e">
        <f>IF(B74&lt;&gt;"",VLOOKUP(B74,'[9]IRR MES'!$C$5:$AK$600,6),"")</f>
        <v>#REF!</v>
      </c>
      <c r="BA74" s="181" t="e">
        <f>IF(B74&lt;&gt;"",VLOOKUP(B74,'[9]IRR MES'!$C$5:$AK$600,8),"")</f>
        <v>#REF!</v>
      </c>
      <c r="BB74" s="247" t="e">
        <f>IF(B74&lt;&gt;"",VLOOKUP(B74,'[9]IRR MES'!$C$5:$AK$600,9),"")</f>
        <v>#REF!</v>
      </c>
      <c r="BC74" s="247" t="e">
        <f>IF(B74&lt;&gt;"",VLOOKUP(B74,'[9]IRR MES'!$C$5:$AK$600,12),"")</f>
        <v>#REF!</v>
      </c>
      <c r="BD74" s="181" t="e">
        <f>IF(B74&lt;&gt;"",VLOOKUP(B74,'[9]IRR MES'!$C$5:$AK$600,14),"")</f>
        <v>#REF!</v>
      </c>
      <c r="BE74" s="247" t="e">
        <f>IF(B74&lt;&gt;"",VLOOKUP(B74,'[9]IRR MES'!$C$5:$AK$600,15),"")</f>
        <v>#REF!</v>
      </c>
      <c r="BF74" s="181" t="e">
        <f>IF(B74&lt;&gt;"",VLOOKUP(B74,'[9]IRR MES'!$C$5:$AK$600,17),"")</f>
        <v>#REF!</v>
      </c>
      <c r="BG74" s="247" t="e">
        <f>IF(B74&lt;&gt;"",VLOOKUP(B74,'[9]IRR MES'!$C$5:$AK$600,18),"")</f>
        <v>#REF!</v>
      </c>
      <c r="BH74" s="181" t="e">
        <f>IF(B74&lt;&gt;"",VLOOKUP(B74,'[9]IRR MES'!$C$5:$AK$600,20),"")</f>
        <v>#REF!</v>
      </c>
      <c r="BI74" s="247" t="e">
        <f>IF(B74&lt;&gt;"",VLOOKUP(B74,'[9]IRR MES'!$C$5:$AK$600,21),"")</f>
        <v>#REF!</v>
      </c>
      <c r="BJ74" s="181" t="e">
        <f>IF(B74&lt;&gt;"",VLOOKUP(B74,'[9]IRR MES'!$C$5:$AK$600,23),"")</f>
        <v>#REF!</v>
      </c>
      <c r="BK74" s="247" t="e">
        <f>IF(B74&lt;&gt;"",VLOOKUP(B74,'[9]IRR MES'!$C$5:$AK$600,24),"")</f>
        <v>#REF!</v>
      </c>
      <c r="BL74" s="181" t="e">
        <f>IF(B74&lt;&gt;"",VLOOKUP(B74,'[9]IRR MES'!$C$5:$AK$600,26),"")</f>
        <v>#REF!</v>
      </c>
      <c r="BM74" s="247" t="e">
        <f>IF(B74&lt;&gt;"",VLOOKUP(B74,'[9]IRR MES'!$C$5:$AK$600,27),"")</f>
        <v>#REF!</v>
      </c>
      <c r="BN74" s="181" t="e">
        <f>IF(B74&lt;&gt;"",VLOOKUP(B74,'[9]IRR MES'!$C$5:$AK$600,29),"")</f>
        <v>#REF!</v>
      </c>
      <c r="BO74" s="247" t="e">
        <f>IF(B74&lt;&gt;"",VLOOKUP(B74,'[9]IRR MES'!$C$5:$AK$600,30),"")</f>
        <v>#REF!</v>
      </c>
      <c r="BP74" s="181" t="e">
        <f>IF(B74&lt;&gt;"",VLOOKUP(B74,'[9]IRR MES'!$C$5:$AK$600,32),"")</f>
        <v>#REF!</v>
      </c>
      <c r="BQ74" s="181" t="e">
        <f>IF(B74&lt;&gt;"",VLOOKUP(B74,'[9]IRR MES'!$C$5:$AK$600,33),"")</f>
        <v>#REF!</v>
      </c>
      <c r="BR74" s="181" t="e">
        <f>IF(B74&lt;&gt;"",VLOOKUP(B74,$D$5:$AO$611,34),"")</f>
        <v>#REF!</v>
      </c>
      <c r="BS74" s="181" t="e">
        <f>IF(B74&lt;&gt;"",VLOOKUP(B74,'[9]IRR MES'!$C$5:$AK$600,34),"")</f>
        <v>#REF!</v>
      </c>
      <c r="BT74" s="248" t="e">
        <f>IF(B74&lt;&gt;"",VLOOKUP(B74,'[9]IRR MES'!$C$1:$AK$600,4),"")</f>
        <v>#REF!</v>
      </c>
      <c r="BU74" s="248" t="e">
        <f>IF(B74&lt;&gt;"",VLOOKUP(B74,'[9]IRR MES'!$C$1:$AK$600,7),"")</f>
        <v>#REF!</v>
      </c>
      <c r="BV74" s="248" t="e">
        <f>IF(B74&lt;&gt;"",VLOOKUP(B74,'[9]IRR MES'!$C$1:$AK$600,10),"")</f>
        <v>#REF!</v>
      </c>
      <c r="BW74" s="248" t="e">
        <f>IF(B74&lt;&gt;"",VLOOKUP(B74,'[9]IRR MES'!$C$1:$AK$600,13),"")</f>
        <v>#REF!</v>
      </c>
      <c r="BX74" s="248" t="e">
        <f>IF(B74&lt;&gt;"",VLOOKUP(B74,'[9]IRR MES'!$C$1:$AK$600,16),"")</f>
        <v>#REF!</v>
      </c>
      <c r="BY74" s="248" t="e">
        <f>IF(B74&lt;&gt;"",VLOOKUP(B74,'[9]IRR MES'!$C$1:$AK$600,19),"")</f>
        <v>#REF!</v>
      </c>
      <c r="BZ74" s="248" t="e">
        <f>IF(B74&lt;&gt;"",VLOOKUP(B74,'[9]IRR MES'!$C$1:$AK$600,22),"")</f>
        <v>#REF!</v>
      </c>
      <c r="CA74" s="248" t="e">
        <f>IF(B74&lt;&gt;"",VLOOKUP(B74,'[9]IRR MES'!$C$1:$AK$600,25),"")</f>
        <v>#REF!</v>
      </c>
      <c r="CB74" s="248" t="e">
        <f>IF(B74&lt;&gt;"",VLOOKUP(B74,'[9]IRR MES'!$C$1:$AK$600,28),"")</f>
        <v>#REF!</v>
      </c>
      <c r="CC74" s="248" t="e">
        <f>IF(B74&lt;&gt;"",VLOOKUP(B74,'[9]IRR MES'!$C$1:$AK$600,31),"")</f>
        <v>#REF!</v>
      </c>
      <c r="CD74" s="249" t="e">
        <f>VLOOKUP(B74,#REF!,2)</f>
        <v>#REF!</v>
      </c>
      <c r="CE74" s="44"/>
    </row>
    <row r="75" spans="1:83" x14ac:dyDescent="0.2">
      <c r="A75" s="10" t="s">
        <v>60</v>
      </c>
      <c r="B75" s="65" t="e">
        <f>#REF!</f>
        <v>#REF!</v>
      </c>
      <c r="C75" s="38">
        <f>'LEVANTAMENTO DADOS'!B71</f>
        <v>3936.1</v>
      </c>
      <c r="D75" s="63" t="e">
        <f>'BASE DE CALCULO IR'!W75+'BASE DE CALCULO IR'!W76</f>
        <v>#REF!</v>
      </c>
      <c r="E75" s="63"/>
      <c r="F75" s="60"/>
      <c r="G75" s="63"/>
      <c r="H75" s="63"/>
      <c r="I75" s="63"/>
      <c r="J75" s="63"/>
      <c r="K75" s="61"/>
      <c r="L75" s="61"/>
      <c r="M75" s="61"/>
      <c r="N75" s="60"/>
      <c r="O75" s="60"/>
      <c r="P75" s="60"/>
      <c r="Q75" s="62"/>
      <c r="R75" s="62" t="e">
        <f>SUM(C75:Q75)</f>
        <v>#REF!</v>
      </c>
      <c r="S75" s="63" t="e">
        <f>IF(C75&lt;&gt;"",C75+R75,R75)</f>
        <v>#REF!</v>
      </c>
      <c r="T75" s="250"/>
      <c r="U75" s="63" t="e">
        <f>IF(B75&lt;&gt;"",AI75*T75,"")</f>
        <v>#REF!</v>
      </c>
      <c r="V75" s="63" t="e">
        <f>#REF!</f>
        <v>#REF!</v>
      </c>
      <c r="W75" s="63" t="e">
        <f>IF(C75&lt;&gt;"",IF(AND(AE75&gt;0,R75&gt;0),S75-U75-V75,IF(AI75&lt;&gt;"",R75-U75-V75)),IF(C75="",IF(AI75&lt;&gt;"",R75-U75-V75)))</f>
        <v>#REF!</v>
      </c>
      <c r="X75" s="242" t="e">
        <f>SUM(D75:Q75)-U75-V75</f>
        <v>#REF!</v>
      </c>
      <c r="Y75" s="34" t="e">
        <f>AW75</f>
        <v>#REF!</v>
      </c>
      <c r="Z75" s="34" t="e">
        <f>X75</f>
        <v>#REF!</v>
      </c>
      <c r="AA75" s="176" t="e">
        <f>IF(B75&lt;&gt;"",IF(R75&gt;Y75,LOOKUP(R75,AW75:BO75,AW75:BS75),""),"")</f>
        <v>#REF!</v>
      </c>
      <c r="AB75" s="11" t="e">
        <f>IF(W75&gt;Y75,X75*AA75,0)</f>
        <v>#REF!</v>
      </c>
      <c r="AC75" s="245" t="e">
        <f>IF(B75&lt;&gt;"",MAX(AK75:AU75),"")</f>
        <v>#REF!</v>
      </c>
      <c r="AD75" s="245" t="e">
        <f>IF(AA75&lt;&gt;"",(X75*AA75)-AC75,"ISENTO")</f>
        <v>#REF!</v>
      </c>
      <c r="AE75" s="245"/>
      <c r="AF75" s="245" t="e">
        <f>IF(AD75&lt;&gt;"isento",AD75-AE75,0)</f>
        <v>#REF!</v>
      </c>
      <c r="AG75" s="173" t="e">
        <f>CD75</f>
        <v>#REF!</v>
      </c>
      <c r="AH75" s="51" t="e">
        <f>IF(AF75&gt;0,AF75*CD75,0)</f>
        <v>#REF!</v>
      </c>
      <c r="AI75" s="63" t="e">
        <f>IF(B75&lt;&gt;"",VLOOKUP(B75,'[9]IRR MES'!$C$15:$AK$600,32),"")</f>
        <v>#REF!</v>
      </c>
      <c r="AJ75" s="246" t="e">
        <f>B75</f>
        <v>#REF!</v>
      </c>
      <c r="AK75" s="181" t="e">
        <f>IF(B75&lt;&gt;"",IF(AA75=AX75,BT75,""),"")</f>
        <v>#REF!</v>
      </c>
      <c r="AL75" s="181" t="e">
        <f>IF(B75&lt;&gt;"",IF(AA75=AZ75,BU75,""),"")</f>
        <v>#REF!</v>
      </c>
      <c r="AM75" s="181" t="e">
        <f>IF(B75&lt;&gt;"",IF(AA75=BB75,BV75,""),"")</f>
        <v>#REF!</v>
      </c>
      <c r="AN75" s="181" t="e">
        <f>IF(B75&lt;&gt;"",IF(AA75=BC75,BW75,""),"")</f>
        <v>#REF!</v>
      </c>
      <c r="AO75" s="181" t="e">
        <f>IF(B75&lt;&gt;"",IF(AA75=BE75,BX75,""),"")</f>
        <v>#REF!</v>
      </c>
      <c r="AP75" s="181" t="e">
        <f>IF(B75&lt;&gt;"",IF(AA75=BG75,BY75,""),"")</f>
        <v>#REF!</v>
      </c>
      <c r="AQ75" s="181" t="e">
        <f>IF(B75&lt;&gt;"",IF(AA75=BI75,BZ75,""),"")</f>
        <v>#REF!</v>
      </c>
      <c r="AR75" s="181" t="e">
        <f>IF(B75&lt;&gt;"",IF(AA75=BK75,CA75,""),"")</f>
        <v>#REF!</v>
      </c>
      <c r="AS75" s="181" t="e">
        <f>IF(B75&lt;&gt;"",IF(AA75=BM75,CB75,""),"")</f>
        <v>#REF!</v>
      </c>
      <c r="AT75" s="181" t="e">
        <f>IF(B75&lt;&gt;"",IF(AA75=BO75,CC75,""),"")</f>
        <v>#REF!</v>
      </c>
      <c r="AU75" s="181"/>
      <c r="AV75" s="63"/>
      <c r="AW75" s="181" t="e">
        <f>IF(B75&lt;&gt;"",VLOOKUP(B75,'[9]IRR MES'!$C$5:$AK$600,2),"")</f>
        <v>#REF!</v>
      </c>
      <c r="AX75" s="247" t="e">
        <f>IF(B75&lt;&gt;"",VLOOKUP(B75,'[9]IRR MES'!$C$5:$AK$600,3),"")</f>
        <v>#REF!</v>
      </c>
      <c r="AY75" s="181" t="e">
        <f>IF(B75&lt;&gt;"",VLOOKUP(B75,'[9]IRR MES'!$C$5:$AK$600,5),"")</f>
        <v>#REF!</v>
      </c>
      <c r="AZ75" s="247" t="e">
        <f>IF(B75&lt;&gt;"",VLOOKUP(B75,'[9]IRR MES'!$C$5:$AK$600,6),"")</f>
        <v>#REF!</v>
      </c>
      <c r="BA75" s="181" t="e">
        <f>IF(B75&lt;&gt;"",VLOOKUP(B75,'[9]IRR MES'!$C$5:$AK$600,8),"")</f>
        <v>#REF!</v>
      </c>
      <c r="BB75" s="247" t="e">
        <f>IF(B75&lt;&gt;"",VLOOKUP(B75,'[9]IRR MES'!$C$5:$AK$600,9),"")</f>
        <v>#REF!</v>
      </c>
      <c r="BC75" s="247" t="e">
        <f>IF(B75&lt;&gt;"",VLOOKUP(B75,'[9]IRR MES'!$C$5:$AK$600,12),"")</f>
        <v>#REF!</v>
      </c>
      <c r="BD75" s="181" t="e">
        <f>IF(B75&lt;&gt;"",VLOOKUP(B75,'[9]IRR MES'!$C$5:$AK$600,14),"")</f>
        <v>#REF!</v>
      </c>
      <c r="BE75" s="247" t="e">
        <f>IF(B75&lt;&gt;"",VLOOKUP(B75,'[9]IRR MES'!$C$5:$AK$600,15),"")</f>
        <v>#REF!</v>
      </c>
      <c r="BF75" s="181" t="e">
        <f>IF(B75&lt;&gt;"",VLOOKUP(B75,'[9]IRR MES'!$C$5:$AK$600,17),"")</f>
        <v>#REF!</v>
      </c>
      <c r="BG75" s="247" t="e">
        <f>IF(B75&lt;&gt;"",VLOOKUP(B75,'[9]IRR MES'!$C$5:$AK$600,18),"")</f>
        <v>#REF!</v>
      </c>
      <c r="BH75" s="181" t="e">
        <f>IF(B75&lt;&gt;"",VLOOKUP(B75,'[9]IRR MES'!$C$5:$AK$600,20),"")</f>
        <v>#REF!</v>
      </c>
      <c r="BI75" s="247" t="e">
        <f>IF(B75&lt;&gt;"",VLOOKUP(B75,'[9]IRR MES'!$C$5:$AK$600,21),"")</f>
        <v>#REF!</v>
      </c>
      <c r="BJ75" s="181" t="e">
        <f>IF(B75&lt;&gt;"",VLOOKUP(B75,'[9]IRR MES'!$C$5:$AK$600,23),"")</f>
        <v>#REF!</v>
      </c>
      <c r="BK75" s="247" t="e">
        <f>IF(B75&lt;&gt;"",VLOOKUP(B75,'[9]IRR MES'!$C$5:$AK$600,24),"")</f>
        <v>#REF!</v>
      </c>
      <c r="BL75" s="181" t="e">
        <f>IF(B75&lt;&gt;"",VLOOKUP(B75,'[9]IRR MES'!$C$5:$AK$600,26),"")</f>
        <v>#REF!</v>
      </c>
      <c r="BM75" s="247" t="e">
        <f>IF(B75&lt;&gt;"",VLOOKUP(B75,'[9]IRR MES'!$C$5:$AK$600,27),"")</f>
        <v>#REF!</v>
      </c>
      <c r="BN75" s="181" t="e">
        <f>IF(B75&lt;&gt;"",VLOOKUP(B75,'[9]IRR MES'!$C$5:$AK$600,29),"")</f>
        <v>#REF!</v>
      </c>
      <c r="BO75" s="247" t="e">
        <f>IF(B75&lt;&gt;"",VLOOKUP(B75,'[9]IRR MES'!$C$5:$AK$600,30),"")</f>
        <v>#REF!</v>
      </c>
      <c r="BP75" s="181" t="e">
        <f>IF(B75&lt;&gt;"",VLOOKUP(B75,'[9]IRR MES'!$C$5:$AK$600,32),"")</f>
        <v>#REF!</v>
      </c>
      <c r="BQ75" s="181" t="e">
        <f>IF(B75&lt;&gt;"",VLOOKUP(B75,'[9]IRR MES'!$C$5:$AK$600,33),"")</f>
        <v>#REF!</v>
      </c>
      <c r="BR75" s="181" t="e">
        <f>IF(B75&lt;&gt;"",VLOOKUP(B75,$D$5:$AO$611,34),"")</f>
        <v>#REF!</v>
      </c>
      <c r="BS75" s="181" t="e">
        <f>IF(B75&lt;&gt;"",VLOOKUP(B75,'[9]IRR MES'!$C$5:$AK$600,34),"")</f>
        <v>#REF!</v>
      </c>
      <c r="BT75" s="248" t="e">
        <f>IF(B75&lt;&gt;"",VLOOKUP(B75,'[9]IRR MES'!$C$1:$AK$600,4),"")</f>
        <v>#REF!</v>
      </c>
      <c r="BU75" s="248" t="e">
        <f>IF(B75&lt;&gt;"",VLOOKUP(B75,'[9]IRR MES'!$C$1:$AK$600,7),"")</f>
        <v>#REF!</v>
      </c>
      <c r="BV75" s="248" t="e">
        <f>IF(B75&lt;&gt;"",VLOOKUP(B75,'[9]IRR MES'!$C$1:$AK$600,10),"")</f>
        <v>#REF!</v>
      </c>
      <c r="BW75" s="248" t="e">
        <f>IF(B75&lt;&gt;"",VLOOKUP(B75,'[9]IRR MES'!$C$1:$AK$600,13),"")</f>
        <v>#REF!</v>
      </c>
      <c r="BX75" s="248" t="e">
        <f>IF(B75&lt;&gt;"",VLOOKUP(B75,'[9]IRR MES'!$C$1:$AK$600,16),"")</f>
        <v>#REF!</v>
      </c>
      <c r="BY75" s="248" t="e">
        <f>IF(B75&lt;&gt;"",VLOOKUP(B75,'[9]IRR MES'!$C$1:$AK$600,19),"")</f>
        <v>#REF!</v>
      </c>
      <c r="BZ75" s="248" t="e">
        <f>IF(B75&lt;&gt;"",VLOOKUP(B75,'[9]IRR MES'!$C$1:$AK$600,22),"")</f>
        <v>#REF!</v>
      </c>
      <c r="CA75" s="248" t="e">
        <f>IF(B75&lt;&gt;"",VLOOKUP(B75,'[9]IRR MES'!$C$1:$AK$600,25),"")</f>
        <v>#REF!</v>
      </c>
      <c r="CB75" s="248" t="e">
        <f>IF(B75&lt;&gt;"",VLOOKUP(B75,'[9]IRR MES'!$C$1:$AK$600,28),"")</f>
        <v>#REF!</v>
      </c>
      <c r="CC75" s="248" t="e">
        <f>IF(B75&lt;&gt;"",VLOOKUP(B75,'[9]IRR MES'!$C$1:$AK$600,31),"")</f>
        <v>#REF!</v>
      </c>
      <c r="CD75" s="249" t="e">
        <f>VLOOKUP(B75,#REF!,2)</f>
        <v>#REF!</v>
      </c>
      <c r="CE75" s="44"/>
    </row>
    <row r="76" spans="1:83" x14ac:dyDescent="0.2">
      <c r="A76" s="10" t="s">
        <v>60</v>
      </c>
      <c r="B76" s="65"/>
      <c r="C76" s="38"/>
      <c r="D76" s="63"/>
      <c r="E76" s="63"/>
      <c r="F76" s="60"/>
      <c r="G76" s="63"/>
      <c r="H76" s="63"/>
      <c r="I76" s="63"/>
      <c r="J76" s="63"/>
      <c r="K76" s="61"/>
      <c r="L76" s="61"/>
      <c r="M76" s="61"/>
      <c r="N76" s="60"/>
      <c r="O76" s="60"/>
      <c r="P76" s="60"/>
      <c r="Q76" s="62"/>
      <c r="R76" s="62"/>
      <c r="S76" s="63"/>
      <c r="T76" s="250"/>
      <c r="U76" s="63"/>
      <c r="V76" s="63"/>
      <c r="W76" s="63"/>
      <c r="X76" s="242"/>
      <c r="Y76" s="34"/>
      <c r="Z76" s="34"/>
      <c r="AA76" s="176"/>
      <c r="AB76" s="11"/>
      <c r="AC76" s="245"/>
      <c r="AD76" s="245"/>
      <c r="AE76" s="245"/>
      <c r="AF76" s="245"/>
      <c r="AG76" s="173"/>
      <c r="AH76" s="51"/>
      <c r="AI76" s="63"/>
      <c r="AJ76" s="246"/>
      <c r="AK76" s="181"/>
      <c r="AL76" s="181"/>
      <c r="AM76" s="181"/>
      <c r="AN76" s="181"/>
      <c r="AO76" s="181"/>
      <c r="AP76" s="181"/>
      <c r="AQ76" s="181"/>
      <c r="AR76" s="181"/>
      <c r="AS76" s="181"/>
      <c r="AT76" s="181"/>
      <c r="AU76" s="181"/>
      <c r="AV76" s="63"/>
      <c r="AW76" s="181"/>
      <c r="AX76" s="247"/>
      <c r="AY76" s="181"/>
      <c r="AZ76" s="247"/>
      <c r="BA76" s="181"/>
      <c r="BB76" s="247"/>
      <c r="BC76" s="247"/>
      <c r="BD76" s="181"/>
      <c r="BE76" s="247"/>
      <c r="BF76" s="181"/>
      <c r="BG76" s="247"/>
      <c r="BH76" s="181"/>
      <c r="BI76" s="247"/>
      <c r="BJ76" s="181"/>
      <c r="BK76" s="247"/>
      <c r="BL76" s="181"/>
      <c r="BM76" s="247"/>
      <c r="BN76" s="181"/>
      <c r="BO76" s="247"/>
      <c r="BP76" s="181"/>
      <c r="BQ76" s="181"/>
      <c r="BR76" s="181"/>
      <c r="BS76" s="181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173"/>
      <c r="CE76" s="44"/>
    </row>
    <row r="77" spans="1:83" ht="6" customHeight="1" x14ac:dyDescent="0.2">
      <c r="A77" s="10" t="s">
        <v>60</v>
      </c>
      <c r="B77" s="309"/>
      <c r="C77" s="310"/>
      <c r="D77" s="174"/>
      <c r="E77" s="174"/>
      <c r="F77" s="169"/>
      <c r="G77" s="174"/>
      <c r="H77" s="174"/>
      <c r="I77" s="174"/>
      <c r="J77" s="174"/>
      <c r="K77" s="170"/>
      <c r="L77" s="170"/>
      <c r="M77" s="170"/>
      <c r="N77" s="169"/>
      <c r="O77" s="169"/>
      <c r="P77" s="169"/>
      <c r="Q77" s="171"/>
      <c r="R77" s="171"/>
      <c r="S77" s="174"/>
      <c r="T77" s="311"/>
      <c r="U77" s="174"/>
      <c r="V77" s="174"/>
      <c r="W77" s="174"/>
      <c r="X77" s="312"/>
      <c r="Y77" s="174"/>
      <c r="Z77" s="174"/>
      <c r="AA77" s="179"/>
      <c r="AB77" s="313"/>
      <c r="AC77" s="314"/>
      <c r="AD77" s="314"/>
      <c r="AE77" s="314"/>
      <c r="AF77" s="314"/>
      <c r="AG77" s="175"/>
      <c r="AH77" s="315"/>
      <c r="AI77" s="63"/>
      <c r="AJ77" s="246"/>
      <c r="AK77" s="181"/>
      <c r="AL77" s="181"/>
      <c r="AM77" s="181"/>
      <c r="AN77" s="181"/>
      <c r="AO77" s="181"/>
      <c r="AP77" s="181"/>
      <c r="AQ77" s="181"/>
      <c r="AR77" s="181"/>
      <c r="AS77" s="181"/>
      <c r="AT77" s="181"/>
      <c r="AU77" s="181"/>
      <c r="AV77" s="63"/>
      <c r="AW77" s="181"/>
      <c r="AX77" s="247"/>
      <c r="AY77" s="181"/>
      <c r="AZ77" s="247"/>
      <c r="BA77" s="181"/>
      <c r="BB77" s="247"/>
      <c r="BC77" s="247"/>
      <c r="BD77" s="181"/>
      <c r="BE77" s="247"/>
      <c r="BF77" s="181"/>
      <c r="BG77" s="247"/>
      <c r="BH77" s="181"/>
      <c r="BI77" s="247"/>
      <c r="BJ77" s="181"/>
      <c r="BK77" s="247"/>
      <c r="BL77" s="181"/>
      <c r="BM77" s="247"/>
      <c r="BN77" s="181"/>
      <c r="BO77" s="247"/>
      <c r="BP77" s="181"/>
      <c r="BQ77" s="181"/>
      <c r="BR77" s="181"/>
      <c r="BS77" s="181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173"/>
      <c r="CE77" s="44"/>
    </row>
    <row r="78" spans="1:83" x14ac:dyDescent="0.2">
      <c r="A78" s="10" t="str">
        <f t="shared" si="29"/>
        <v>sim</v>
      </c>
      <c r="B78" s="67" t="s">
        <v>3</v>
      </c>
      <c r="C78" s="38"/>
      <c r="D78" s="63"/>
      <c r="E78" s="63"/>
      <c r="F78" s="60"/>
      <c r="G78" s="63"/>
      <c r="H78" s="63"/>
      <c r="I78" s="63"/>
      <c r="J78" s="63"/>
      <c r="K78" s="61"/>
      <c r="L78" s="61"/>
      <c r="M78" s="61"/>
      <c r="N78" s="60"/>
      <c r="O78" s="60"/>
      <c r="P78" s="60"/>
      <c r="Q78" s="62"/>
      <c r="R78" s="62"/>
      <c r="S78" s="63"/>
      <c r="T78" s="250"/>
      <c r="U78" s="63"/>
      <c r="V78" s="63"/>
      <c r="W78" s="63"/>
      <c r="X78" s="242"/>
      <c r="Y78" s="34"/>
      <c r="Z78" s="34"/>
      <c r="AA78" s="176" t="str">
        <f t="shared" ref="AA78:AA84" si="55">IF(B78&lt;&gt;"",IF(R78&gt;Y78,LOOKUP(R78,AW78:BO78,AW78:BS78),""),"")</f>
        <v/>
      </c>
      <c r="AB78" s="11"/>
      <c r="AC78" s="245"/>
      <c r="AD78" s="245"/>
      <c r="AE78" s="245"/>
      <c r="AF78" s="245"/>
      <c r="AG78" s="173"/>
      <c r="AH78" s="51"/>
      <c r="AI78" s="63"/>
      <c r="AJ78" s="246"/>
      <c r="AK78" s="181"/>
      <c r="AL78" s="181"/>
      <c r="AM78" s="181"/>
      <c r="AN78" s="181"/>
      <c r="AO78" s="181"/>
      <c r="AP78" s="181"/>
      <c r="AQ78" s="181"/>
      <c r="AR78" s="181"/>
      <c r="AS78" s="181"/>
      <c r="AT78" s="181"/>
      <c r="AU78" s="181"/>
      <c r="AV78" s="63"/>
      <c r="AW78" s="181"/>
      <c r="AX78" s="247"/>
      <c r="AY78" s="181"/>
      <c r="AZ78" s="247"/>
      <c r="BA78" s="181"/>
      <c r="BB78" s="247"/>
      <c r="BC78" s="247"/>
      <c r="BD78" s="181"/>
      <c r="BE78" s="247"/>
      <c r="BF78" s="181"/>
      <c r="BG78" s="247"/>
      <c r="BH78" s="181"/>
      <c r="BI78" s="247"/>
      <c r="BJ78" s="181"/>
      <c r="BK78" s="247"/>
      <c r="BL78" s="181"/>
      <c r="BM78" s="247"/>
      <c r="BN78" s="181"/>
      <c r="BO78" s="247"/>
      <c r="BP78" s="181"/>
      <c r="BQ78" s="181"/>
      <c r="BR78" s="181"/>
      <c r="BS78" s="181"/>
      <c r="BT78" s="248"/>
      <c r="BU78" s="248"/>
      <c r="BV78" s="248"/>
      <c r="BW78" s="248"/>
      <c r="BX78" s="248"/>
      <c r="BY78" s="248"/>
      <c r="BZ78" s="248"/>
      <c r="CA78" s="248"/>
      <c r="CB78" s="248"/>
      <c r="CC78" s="248"/>
      <c r="CD78" s="173"/>
      <c r="CE78" s="44"/>
    </row>
    <row r="79" spans="1:83" x14ac:dyDescent="0.2">
      <c r="A79" s="10" t="e">
        <f t="shared" ref="A79:A84" si="56">IF(B79&lt;&gt;"","sim","não")</f>
        <v>#REF!</v>
      </c>
      <c r="B79" s="65" t="e">
        <f>#REF!</f>
        <v>#REF!</v>
      </c>
      <c r="C79" s="38" t="e">
        <f>'LEVANTAMENTO DADOS'!#REF!</f>
        <v>#REF!</v>
      </c>
      <c r="D79" s="63" t="e">
        <f>'BASE DE CALCULO IR'!W80</f>
        <v>#REF!</v>
      </c>
      <c r="E79" s="63"/>
      <c r="F79" s="60"/>
      <c r="G79" s="63"/>
      <c r="H79" s="63"/>
      <c r="I79" s="63"/>
      <c r="J79" s="63"/>
      <c r="K79" s="61"/>
      <c r="L79" s="61"/>
      <c r="M79" s="61"/>
      <c r="N79" s="60"/>
      <c r="O79" s="60"/>
      <c r="P79" s="60"/>
      <c r="Q79" s="62"/>
      <c r="R79" s="62" t="e">
        <f t="shared" ref="R79:R84" si="57">SUM(C79:Q79)</f>
        <v>#REF!</v>
      </c>
      <c r="S79" s="63" t="e">
        <f t="shared" ref="S79:S84" si="58">IF(C79&lt;&gt;"",C79+R79,R79)</f>
        <v>#REF!</v>
      </c>
      <c r="T79" s="250"/>
      <c r="U79" s="63" t="e">
        <f t="shared" ref="U79:U84" si="59">IF(B79&lt;&gt;"",AI79*T79,"")</f>
        <v>#REF!</v>
      </c>
      <c r="V79" s="63" t="e">
        <f>#REF!</f>
        <v>#REF!</v>
      </c>
      <c r="W79" s="63" t="e">
        <f t="shared" ref="W79:W84" si="60">IF(C79&lt;&gt;"",IF(AND(AE79&gt;0,R79&gt;0),S79-U79-V79,IF(AI79&lt;&gt;"",R79-U79-V79)),IF(C79="",IF(AI79&lt;&gt;"",R79-U79-V79)))</f>
        <v>#REF!</v>
      </c>
      <c r="X79" s="242" t="e">
        <f t="shared" ref="X79:X84" si="61">SUM(D79:Q79)-U79-V79</f>
        <v>#REF!</v>
      </c>
      <c r="Y79" s="34" t="e">
        <f t="shared" ref="Y79:Y84" si="62">AW79</f>
        <v>#REF!</v>
      </c>
      <c r="Z79" s="34" t="e">
        <f t="shared" ref="Z79:Z84" si="63">X79</f>
        <v>#REF!</v>
      </c>
      <c r="AA79" s="176" t="e">
        <f t="shared" si="55"/>
        <v>#REF!</v>
      </c>
      <c r="AB79" s="11" t="e">
        <f t="shared" ref="AB79:AB84" si="64">IF(W79&gt;Y79,X79*AA79,0)</f>
        <v>#REF!</v>
      </c>
      <c r="AC79" s="245" t="e">
        <f t="shared" ref="AC79:AC84" si="65">IF(B79&lt;&gt;"",MAX(AK79:AU79),"")</f>
        <v>#REF!</v>
      </c>
      <c r="AD79" s="245" t="e">
        <f t="shared" ref="AD79:AD84" si="66">IF(AA79&lt;&gt;"",(X79*AA79)-AC79,"ISENTO")</f>
        <v>#REF!</v>
      </c>
      <c r="AE79" s="245"/>
      <c r="AF79" s="245" t="e">
        <f t="shared" ref="AF79:AF84" si="67">IF(AD79&lt;&gt;"isento",AD79-AE79,0)</f>
        <v>#REF!</v>
      </c>
      <c r="AG79" s="173" t="e">
        <f t="shared" ref="AG79:AG84" si="68">CD79</f>
        <v>#REF!</v>
      </c>
      <c r="AH79" s="51" t="e">
        <f t="shared" ref="AH79:AH84" si="69">IF(AF79&gt;0,AF79*CD79,0)</f>
        <v>#REF!</v>
      </c>
      <c r="AI79" s="63" t="e">
        <f>IF(B79&lt;&gt;"",VLOOKUP(B79,'[9]IRR MES'!$C$15:$AK$600,32),"")</f>
        <v>#REF!</v>
      </c>
      <c r="AJ79" s="246" t="e">
        <f t="shared" ref="AJ79:AJ84" si="70">B79</f>
        <v>#REF!</v>
      </c>
      <c r="AK79" s="181" t="e">
        <f t="shared" ref="AK79:AK84" si="71">IF(B79&lt;&gt;"",IF(AA79=AX79,BT79,""),"")</f>
        <v>#REF!</v>
      </c>
      <c r="AL79" s="181" t="e">
        <f t="shared" ref="AL79:AL84" si="72">IF(B79&lt;&gt;"",IF(AA79=AZ79,BU79,""),"")</f>
        <v>#REF!</v>
      </c>
      <c r="AM79" s="181" t="e">
        <f t="shared" ref="AM79:AM84" si="73">IF(B79&lt;&gt;"",IF(AA79=BB79,BV79,""),"")</f>
        <v>#REF!</v>
      </c>
      <c r="AN79" s="181" t="e">
        <f t="shared" ref="AN79:AN84" si="74">IF(B79&lt;&gt;"",IF(AA79=BC79,BW79,""),"")</f>
        <v>#REF!</v>
      </c>
      <c r="AO79" s="181" t="e">
        <f t="shared" ref="AO79:AO84" si="75">IF(B79&lt;&gt;"",IF(AA79=BE79,BX79,""),"")</f>
        <v>#REF!</v>
      </c>
      <c r="AP79" s="181" t="e">
        <f t="shared" ref="AP79:AP84" si="76">IF(B79&lt;&gt;"",IF(AA79=BG79,BY79,""),"")</f>
        <v>#REF!</v>
      </c>
      <c r="AQ79" s="181" t="e">
        <f t="shared" ref="AQ79:AQ84" si="77">IF(B79&lt;&gt;"",IF(AA79=BI79,BZ79,""),"")</f>
        <v>#REF!</v>
      </c>
      <c r="AR79" s="181" t="e">
        <f t="shared" ref="AR79:AR84" si="78">IF(B79&lt;&gt;"",IF(AA79=BK79,CA79,""),"")</f>
        <v>#REF!</v>
      </c>
      <c r="AS79" s="181" t="e">
        <f t="shared" ref="AS79:AS84" si="79">IF(B79&lt;&gt;"",IF(AA79=BM79,CB79,""),"")</f>
        <v>#REF!</v>
      </c>
      <c r="AT79" s="181" t="e">
        <f t="shared" ref="AT79:AT84" si="80">IF(B79&lt;&gt;"",IF(AA79=BO79,CC79,""),"")</f>
        <v>#REF!</v>
      </c>
      <c r="AU79" s="181"/>
      <c r="AV79" s="63"/>
      <c r="AW79" s="181" t="e">
        <f>IF(B79&lt;&gt;"",VLOOKUP(B79,'[9]IRR MES'!$C$5:$AK$600,2),"")</f>
        <v>#REF!</v>
      </c>
      <c r="AX79" s="247" t="e">
        <f>IF(B79&lt;&gt;"",VLOOKUP(B79,'[9]IRR MES'!$C$5:$AK$600,3),"")</f>
        <v>#REF!</v>
      </c>
      <c r="AY79" s="181" t="e">
        <f>IF(B79&lt;&gt;"",VLOOKUP(B79,'[9]IRR MES'!$C$5:$AK$600,5),"")</f>
        <v>#REF!</v>
      </c>
      <c r="AZ79" s="247" t="e">
        <f>IF(B79&lt;&gt;"",VLOOKUP(B79,'[9]IRR MES'!$C$5:$AK$600,6),"")</f>
        <v>#REF!</v>
      </c>
      <c r="BA79" s="181" t="e">
        <f>IF(B79&lt;&gt;"",VLOOKUP(B79,'[9]IRR MES'!$C$5:$AK$600,8),"")</f>
        <v>#REF!</v>
      </c>
      <c r="BB79" s="247" t="e">
        <f>IF(B79&lt;&gt;"",VLOOKUP(B79,'[9]IRR MES'!$C$5:$AK$600,9),"")</f>
        <v>#REF!</v>
      </c>
      <c r="BC79" s="247" t="e">
        <f>IF(B79&lt;&gt;"",VLOOKUP(B79,'[9]IRR MES'!$C$5:$AK$600,12),"")</f>
        <v>#REF!</v>
      </c>
      <c r="BD79" s="181" t="e">
        <f>IF(B79&lt;&gt;"",VLOOKUP(B79,'[9]IRR MES'!$C$5:$AK$600,14),"")</f>
        <v>#REF!</v>
      </c>
      <c r="BE79" s="247" t="e">
        <f>IF(B79&lt;&gt;"",VLOOKUP(B79,'[9]IRR MES'!$C$5:$AK$600,15),"")</f>
        <v>#REF!</v>
      </c>
      <c r="BF79" s="181" t="e">
        <f>IF(B79&lt;&gt;"",VLOOKUP(B79,'[9]IRR MES'!$C$5:$AK$600,17),"")</f>
        <v>#REF!</v>
      </c>
      <c r="BG79" s="247" t="e">
        <f>IF(B79&lt;&gt;"",VLOOKUP(B79,'[9]IRR MES'!$C$5:$AK$600,18),"")</f>
        <v>#REF!</v>
      </c>
      <c r="BH79" s="181" t="e">
        <f>IF(B79&lt;&gt;"",VLOOKUP(B79,'[9]IRR MES'!$C$5:$AK$600,20),"")</f>
        <v>#REF!</v>
      </c>
      <c r="BI79" s="247" t="e">
        <f>IF(B79&lt;&gt;"",VLOOKUP(B79,'[9]IRR MES'!$C$5:$AK$600,21),"")</f>
        <v>#REF!</v>
      </c>
      <c r="BJ79" s="181" t="e">
        <f>IF(B79&lt;&gt;"",VLOOKUP(B79,'[9]IRR MES'!$C$5:$AK$600,23),"")</f>
        <v>#REF!</v>
      </c>
      <c r="BK79" s="247" t="e">
        <f>IF(B79&lt;&gt;"",VLOOKUP(B79,'[9]IRR MES'!$C$5:$AK$600,24),"")</f>
        <v>#REF!</v>
      </c>
      <c r="BL79" s="181" t="e">
        <f>IF(B79&lt;&gt;"",VLOOKUP(B79,'[9]IRR MES'!$C$5:$AK$600,26),"")</f>
        <v>#REF!</v>
      </c>
      <c r="BM79" s="247" t="e">
        <f>IF(B79&lt;&gt;"",VLOOKUP(B79,'[9]IRR MES'!$C$5:$AK$600,27),"")</f>
        <v>#REF!</v>
      </c>
      <c r="BN79" s="181" t="e">
        <f>IF(B79&lt;&gt;"",VLOOKUP(B79,'[9]IRR MES'!$C$5:$AK$600,29),"")</f>
        <v>#REF!</v>
      </c>
      <c r="BO79" s="247" t="e">
        <f>IF(B79&lt;&gt;"",VLOOKUP(B79,'[9]IRR MES'!$C$5:$AK$600,30),"")</f>
        <v>#REF!</v>
      </c>
      <c r="BP79" s="181" t="e">
        <f>IF(B79&lt;&gt;"",VLOOKUP(B79,'[9]IRR MES'!$C$5:$AK$600,32),"")</f>
        <v>#REF!</v>
      </c>
      <c r="BQ79" s="181" t="e">
        <f>IF(B79&lt;&gt;"",VLOOKUP(B79,'[9]IRR MES'!$C$5:$AK$600,33),"")</f>
        <v>#REF!</v>
      </c>
      <c r="BR79" s="181" t="e">
        <f t="shared" ref="BR79:BR84" si="81">IF(B79&lt;&gt;"",VLOOKUP(B79,$D$5:$AO$611,34),"")</f>
        <v>#REF!</v>
      </c>
      <c r="BS79" s="181" t="e">
        <f>IF(B79&lt;&gt;"",VLOOKUP(B79,'[9]IRR MES'!$C$5:$AK$600,34),"")</f>
        <v>#REF!</v>
      </c>
      <c r="BT79" s="248" t="e">
        <f>IF(B79&lt;&gt;"",VLOOKUP(B79,'[9]IRR MES'!$C$1:$AK$600,4),"")</f>
        <v>#REF!</v>
      </c>
      <c r="BU79" s="248" t="e">
        <f>IF(B79&lt;&gt;"",VLOOKUP(B79,'[9]IRR MES'!$C$1:$AK$600,7),"")</f>
        <v>#REF!</v>
      </c>
      <c r="BV79" s="248" t="e">
        <f>IF(B79&lt;&gt;"",VLOOKUP(B79,'[9]IRR MES'!$C$1:$AK$600,10),"")</f>
        <v>#REF!</v>
      </c>
      <c r="BW79" s="248" t="e">
        <f>IF(B79&lt;&gt;"",VLOOKUP(B79,'[9]IRR MES'!$C$1:$AK$600,13),"")</f>
        <v>#REF!</v>
      </c>
      <c r="BX79" s="248" t="e">
        <f>IF(B79&lt;&gt;"",VLOOKUP(B79,'[9]IRR MES'!$C$1:$AK$600,16),"")</f>
        <v>#REF!</v>
      </c>
      <c r="BY79" s="248" t="e">
        <f>IF(B79&lt;&gt;"",VLOOKUP(B79,'[9]IRR MES'!$C$1:$AK$600,19),"")</f>
        <v>#REF!</v>
      </c>
      <c r="BZ79" s="248" t="e">
        <f>IF(B79&lt;&gt;"",VLOOKUP(B79,'[9]IRR MES'!$C$1:$AK$600,22),"")</f>
        <v>#REF!</v>
      </c>
      <c r="CA79" s="248" t="e">
        <f>IF(B79&lt;&gt;"",VLOOKUP(B79,'[9]IRR MES'!$C$1:$AK$600,25),"")</f>
        <v>#REF!</v>
      </c>
      <c r="CB79" s="248" t="e">
        <f>IF(B79&lt;&gt;"",VLOOKUP(B79,'[9]IRR MES'!$C$1:$AK$600,28),"")</f>
        <v>#REF!</v>
      </c>
      <c r="CC79" s="248" t="e">
        <f>IF(B79&lt;&gt;"",VLOOKUP(B79,'[9]IRR MES'!$C$1:$AK$600,31),"")</f>
        <v>#REF!</v>
      </c>
      <c r="CD79" s="249" t="e">
        <f>VLOOKUP(B79,#REF!,2)</f>
        <v>#REF!</v>
      </c>
      <c r="CE79" s="44"/>
    </row>
    <row r="80" spans="1:83" x14ac:dyDescent="0.2">
      <c r="A80" s="10" t="e">
        <f t="shared" si="56"/>
        <v>#REF!</v>
      </c>
      <c r="B80" s="65" t="e">
        <f>#REF!</f>
        <v>#REF!</v>
      </c>
      <c r="C80" s="38" t="e">
        <f>'LEVANTAMENTO DADOS'!#REF!</f>
        <v>#REF!</v>
      </c>
      <c r="D80" s="63" t="e">
        <f>'BASE DE CALCULO IR'!W81</f>
        <v>#REF!</v>
      </c>
      <c r="E80" s="63"/>
      <c r="F80" s="60"/>
      <c r="G80" s="63"/>
      <c r="H80" s="63"/>
      <c r="I80" s="63"/>
      <c r="J80" s="63"/>
      <c r="K80" s="61"/>
      <c r="L80" s="61"/>
      <c r="M80" s="61"/>
      <c r="N80" s="60"/>
      <c r="O80" s="60"/>
      <c r="P80" s="60"/>
      <c r="Q80" s="62"/>
      <c r="R80" s="62" t="e">
        <f t="shared" si="57"/>
        <v>#REF!</v>
      </c>
      <c r="S80" s="63" t="e">
        <f t="shared" si="58"/>
        <v>#REF!</v>
      </c>
      <c r="T80" s="250"/>
      <c r="U80" s="63" t="e">
        <f t="shared" si="59"/>
        <v>#REF!</v>
      </c>
      <c r="V80" s="63" t="e">
        <f>#REF!</f>
        <v>#REF!</v>
      </c>
      <c r="W80" s="63" t="e">
        <f t="shared" si="60"/>
        <v>#REF!</v>
      </c>
      <c r="X80" s="242" t="e">
        <f t="shared" si="61"/>
        <v>#REF!</v>
      </c>
      <c r="Y80" s="34" t="e">
        <f t="shared" si="62"/>
        <v>#REF!</v>
      </c>
      <c r="Z80" s="34" t="e">
        <f t="shared" si="63"/>
        <v>#REF!</v>
      </c>
      <c r="AA80" s="176" t="e">
        <f t="shared" si="55"/>
        <v>#REF!</v>
      </c>
      <c r="AB80" s="11" t="e">
        <f t="shared" si="64"/>
        <v>#REF!</v>
      </c>
      <c r="AC80" s="245" t="e">
        <f t="shared" si="65"/>
        <v>#REF!</v>
      </c>
      <c r="AD80" s="245" t="e">
        <f t="shared" si="66"/>
        <v>#REF!</v>
      </c>
      <c r="AE80" s="245"/>
      <c r="AF80" s="245" t="e">
        <f t="shared" si="67"/>
        <v>#REF!</v>
      </c>
      <c r="AG80" s="173" t="e">
        <f t="shared" si="68"/>
        <v>#REF!</v>
      </c>
      <c r="AH80" s="51" t="e">
        <f t="shared" si="69"/>
        <v>#REF!</v>
      </c>
      <c r="AI80" s="63" t="e">
        <f>IF(B80&lt;&gt;"",VLOOKUP(B80,'[9]IRR MES'!$C$15:$AK$600,32),"")</f>
        <v>#REF!</v>
      </c>
      <c r="AJ80" s="246" t="e">
        <f t="shared" si="70"/>
        <v>#REF!</v>
      </c>
      <c r="AK80" s="181" t="e">
        <f t="shared" si="71"/>
        <v>#REF!</v>
      </c>
      <c r="AL80" s="181" t="e">
        <f t="shared" si="72"/>
        <v>#REF!</v>
      </c>
      <c r="AM80" s="181" t="e">
        <f t="shared" si="73"/>
        <v>#REF!</v>
      </c>
      <c r="AN80" s="181" t="e">
        <f t="shared" si="74"/>
        <v>#REF!</v>
      </c>
      <c r="AO80" s="181" t="e">
        <f t="shared" si="75"/>
        <v>#REF!</v>
      </c>
      <c r="AP80" s="181" t="e">
        <f t="shared" si="76"/>
        <v>#REF!</v>
      </c>
      <c r="AQ80" s="181" t="e">
        <f t="shared" si="77"/>
        <v>#REF!</v>
      </c>
      <c r="AR80" s="181" t="e">
        <f t="shared" si="78"/>
        <v>#REF!</v>
      </c>
      <c r="AS80" s="181" t="e">
        <f t="shared" si="79"/>
        <v>#REF!</v>
      </c>
      <c r="AT80" s="181" t="e">
        <f t="shared" si="80"/>
        <v>#REF!</v>
      </c>
      <c r="AU80" s="181"/>
      <c r="AV80" s="63"/>
      <c r="AW80" s="181" t="e">
        <f>IF(B80&lt;&gt;"",VLOOKUP(B80,'[9]IRR MES'!$C$5:$AK$600,2),"")</f>
        <v>#REF!</v>
      </c>
      <c r="AX80" s="247" t="e">
        <f>IF(B80&lt;&gt;"",VLOOKUP(B80,'[9]IRR MES'!$C$5:$AK$600,3),"")</f>
        <v>#REF!</v>
      </c>
      <c r="AY80" s="181" t="e">
        <f>IF(B80&lt;&gt;"",VLOOKUP(B80,'[9]IRR MES'!$C$5:$AK$600,5),"")</f>
        <v>#REF!</v>
      </c>
      <c r="AZ80" s="247" t="e">
        <f>IF(B80&lt;&gt;"",VLOOKUP(B80,'[9]IRR MES'!$C$5:$AK$600,6),"")</f>
        <v>#REF!</v>
      </c>
      <c r="BA80" s="181" t="e">
        <f>IF(B80&lt;&gt;"",VLOOKUP(B80,'[9]IRR MES'!$C$5:$AK$600,8),"")</f>
        <v>#REF!</v>
      </c>
      <c r="BB80" s="247" t="e">
        <f>IF(B80&lt;&gt;"",VLOOKUP(B80,'[9]IRR MES'!$C$5:$AK$600,9),"")</f>
        <v>#REF!</v>
      </c>
      <c r="BC80" s="247" t="e">
        <f>IF(B80&lt;&gt;"",VLOOKUP(B80,'[9]IRR MES'!$C$5:$AK$600,12),"")</f>
        <v>#REF!</v>
      </c>
      <c r="BD80" s="181" t="e">
        <f>IF(B80&lt;&gt;"",VLOOKUP(B80,'[9]IRR MES'!$C$5:$AK$600,14),"")</f>
        <v>#REF!</v>
      </c>
      <c r="BE80" s="247" t="e">
        <f>IF(B80&lt;&gt;"",VLOOKUP(B80,'[9]IRR MES'!$C$5:$AK$600,15),"")</f>
        <v>#REF!</v>
      </c>
      <c r="BF80" s="181" t="e">
        <f>IF(B80&lt;&gt;"",VLOOKUP(B80,'[9]IRR MES'!$C$5:$AK$600,17),"")</f>
        <v>#REF!</v>
      </c>
      <c r="BG80" s="247" t="e">
        <f>IF(B80&lt;&gt;"",VLOOKUP(B80,'[9]IRR MES'!$C$5:$AK$600,18),"")</f>
        <v>#REF!</v>
      </c>
      <c r="BH80" s="181" t="e">
        <f>IF(B80&lt;&gt;"",VLOOKUP(B80,'[9]IRR MES'!$C$5:$AK$600,20),"")</f>
        <v>#REF!</v>
      </c>
      <c r="BI80" s="247" t="e">
        <f>IF(B80&lt;&gt;"",VLOOKUP(B80,'[9]IRR MES'!$C$5:$AK$600,21),"")</f>
        <v>#REF!</v>
      </c>
      <c r="BJ80" s="181" t="e">
        <f>IF(B80&lt;&gt;"",VLOOKUP(B80,'[9]IRR MES'!$C$5:$AK$600,23),"")</f>
        <v>#REF!</v>
      </c>
      <c r="BK80" s="247" t="e">
        <f>IF(B80&lt;&gt;"",VLOOKUP(B80,'[9]IRR MES'!$C$5:$AK$600,24),"")</f>
        <v>#REF!</v>
      </c>
      <c r="BL80" s="181" t="e">
        <f>IF(B80&lt;&gt;"",VLOOKUP(B80,'[9]IRR MES'!$C$5:$AK$600,26),"")</f>
        <v>#REF!</v>
      </c>
      <c r="BM80" s="247" t="e">
        <f>IF(B80&lt;&gt;"",VLOOKUP(B80,'[9]IRR MES'!$C$5:$AK$600,27),"")</f>
        <v>#REF!</v>
      </c>
      <c r="BN80" s="181" t="e">
        <f>IF(B80&lt;&gt;"",VLOOKUP(B80,'[9]IRR MES'!$C$5:$AK$600,29),"")</f>
        <v>#REF!</v>
      </c>
      <c r="BO80" s="247" t="e">
        <f>IF(B80&lt;&gt;"",VLOOKUP(B80,'[9]IRR MES'!$C$5:$AK$600,30),"")</f>
        <v>#REF!</v>
      </c>
      <c r="BP80" s="181" t="e">
        <f>IF(B80&lt;&gt;"",VLOOKUP(B80,'[9]IRR MES'!$C$5:$AK$600,32),"")</f>
        <v>#REF!</v>
      </c>
      <c r="BQ80" s="181" t="e">
        <f>IF(B80&lt;&gt;"",VLOOKUP(B80,'[9]IRR MES'!$C$5:$AK$600,33),"")</f>
        <v>#REF!</v>
      </c>
      <c r="BR80" s="181" t="e">
        <f t="shared" si="81"/>
        <v>#REF!</v>
      </c>
      <c r="BS80" s="181" t="e">
        <f>IF(B80&lt;&gt;"",VLOOKUP(B80,'[9]IRR MES'!$C$5:$AK$600,34),"")</f>
        <v>#REF!</v>
      </c>
      <c r="BT80" s="248" t="e">
        <f>IF(B80&lt;&gt;"",VLOOKUP(B80,'[9]IRR MES'!$C$1:$AK$600,4),"")</f>
        <v>#REF!</v>
      </c>
      <c r="BU80" s="248" t="e">
        <f>IF(B80&lt;&gt;"",VLOOKUP(B80,'[9]IRR MES'!$C$1:$AK$600,7),"")</f>
        <v>#REF!</v>
      </c>
      <c r="BV80" s="248" t="e">
        <f>IF(B80&lt;&gt;"",VLOOKUP(B80,'[9]IRR MES'!$C$1:$AK$600,10),"")</f>
        <v>#REF!</v>
      </c>
      <c r="BW80" s="248" t="e">
        <f>IF(B80&lt;&gt;"",VLOOKUP(B80,'[9]IRR MES'!$C$1:$AK$600,13),"")</f>
        <v>#REF!</v>
      </c>
      <c r="BX80" s="248" t="e">
        <f>IF(B80&lt;&gt;"",VLOOKUP(B80,'[9]IRR MES'!$C$1:$AK$600,16),"")</f>
        <v>#REF!</v>
      </c>
      <c r="BY80" s="248" t="e">
        <f>IF(B80&lt;&gt;"",VLOOKUP(B80,'[9]IRR MES'!$C$1:$AK$600,19),"")</f>
        <v>#REF!</v>
      </c>
      <c r="BZ80" s="248" t="e">
        <f>IF(B80&lt;&gt;"",VLOOKUP(B80,'[9]IRR MES'!$C$1:$AK$600,22),"")</f>
        <v>#REF!</v>
      </c>
      <c r="CA80" s="248" t="e">
        <f>IF(B80&lt;&gt;"",VLOOKUP(B80,'[9]IRR MES'!$C$1:$AK$600,25),"")</f>
        <v>#REF!</v>
      </c>
      <c r="CB80" s="248" t="e">
        <f>IF(B80&lt;&gt;"",VLOOKUP(B80,'[9]IRR MES'!$C$1:$AK$600,28),"")</f>
        <v>#REF!</v>
      </c>
      <c r="CC80" s="248" t="e">
        <f>IF(B80&lt;&gt;"",VLOOKUP(B80,'[9]IRR MES'!$C$1:$AK$600,31),"")</f>
        <v>#REF!</v>
      </c>
      <c r="CD80" s="249" t="e">
        <f>VLOOKUP(B80,#REF!,2)</f>
        <v>#REF!</v>
      </c>
      <c r="CE80" s="44"/>
    </row>
    <row r="81" spans="1:83" x14ac:dyDescent="0.2">
      <c r="A81" s="10" t="e">
        <f t="shared" si="56"/>
        <v>#REF!</v>
      </c>
      <c r="B81" s="65" t="e">
        <f>#REF!</f>
        <v>#REF!</v>
      </c>
      <c r="C81" s="38" t="e">
        <f>'LEVANTAMENTO DADOS'!#REF!</f>
        <v>#REF!</v>
      </c>
      <c r="D81" s="63" t="e">
        <f>'BASE DE CALCULO IR'!W82</f>
        <v>#REF!</v>
      </c>
      <c r="E81" s="63"/>
      <c r="F81" s="60"/>
      <c r="G81" s="63"/>
      <c r="H81" s="63"/>
      <c r="I81" s="63"/>
      <c r="J81" s="63"/>
      <c r="K81" s="61"/>
      <c r="L81" s="61"/>
      <c r="M81" s="61"/>
      <c r="N81" s="60"/>
      <c r="O81" s="60"/>
      <c r="P81" s="60"/>
      <c r="Q81" s="62"/>
      <c r="R81" s="62" t="e">
        <f t="shared" si="57"/>
        <v>#REF!</v>
      </c>
      <c r="S81" s="63" t="e">
        <f t="shared" si="58"/>
        <v>#REF!</v>
      </c>
      <c r="T81" s="250"/>
      <c r="U81" s="63" t="e">
        <f t="shared" si="59"/>
        <v>#REF!</v>
      </c>
      <c r="V81" s="63" t="e">
        <f>#REF!</f>
        <v>#REF!</v>
      </c>
      <c r="W81" s="63" t="e">
        <f t="shared" si="60"/>
        <v>#REF!</v>
      </c>
      <c r="X81" s="242" t="e">
        <f t="shared" si="61"/>
        <v>#REF!</v>
      </c>
      <c r="Y81" s="34" t="e">
        <f t="shared" si="62"/>
        <v>#REF!</v>
      </c>
      <c r="Z81" s="34" t="e">
        <f t="shared" si="63"/>
        <v>#REF!</v>
      </c>
      <c r="AA81" s="176" t="e">
        <f t="shared" si="55"/>
        <v>#REF!</v>
      </c>
      <c r="AB81" s="11" t="e">
        <f t="shared" si="64"/>
        <v>#REF!</v>
      </c>
      <c r="AC81" s="245" t="e">
        <f t="shared" si="65"/>
        <v>#REF!</v>
      </c>
      <c r="AD81" s="245" t="e">
        <f t="shared" si="66"/>
        <v>#REF!</v>
      </c>
      <c r="AE81" s="245"/>
      <c r="AF81" s="245" t="e">
        <f t="shared" si="67"/>
        <v>#REF!</v>
      </c>
      <c r="AG81" s="173" t="e">
        <f t="shared" si="68"/>
        <v>#REF!</v>
      </c>
      <c r="AH81" s="51" t="e">
        <f t="shared" si="69"/>
        <v>#REF!</v>
      </c>
      <c r="AI81" s="63" t="e">
        <f>IF(B81&lt;&gt;"",VLOOKUP(B81,'[9]IRR MES'!$C$15:$AK$600,32),"")</f>
        <v>#REF!</v>
      </c>
      <c r="AJ81" s="246" t="e">
        <f t="shared" si="70"/>
        <v>#REF!</v>
      </c>
      <c r="AK81" s="181" t="e">
        <f t="shared" si="71"/>
        <v>#REF!</v>
      </c>
      <c r="AL81" s="181" t="e">
        <f t="shared" si="72"/>
        <v>#REF!</v>
      </c>
      <c r="AM81" s="181" t="e">
        <f t="shared" si="73"/>
        <v>#REF!</v>
      </c>
      <c r="AN81" s="181" t="e">
        <f t="shared" si="74"/>
        <v>#REF!</v>
      </c>
      <c r="AO81" s="181" t="e">
        <f t="shared" si="75"/>
        <v>#REF!</v>
      </c>
      <c r="AP81" s="181" t="e">
        <f t="shared" si="76"/>
        <v>#REF!</v>
      </c>
      <c r="AQ81" s="181" t="e">
        <f t="shared" si="77"/>
        <v>#REF!</v>
      </c>
      <c r="AR81" s="181" t="e">
        <f t="shared" si="78"/>
        <v>#REF!</v>
      </c>
      <c r="AS81" s="181" t="e">
        <f t="shared" si="79"/>
        <v>#REF!</v>
      </c>
      <c r="AT81" s="181" t="e">
        <f t="shared" si="80"/>
        <v>#REF!</v>
      </c>
      <c r="AU81" s="181"/>
      <c r="AV81" s="63"/>
      <c r="AW81" s="181" t="e">
        <f>IF(B81&lt;&gt;"",VLOOKUP(B81,'[9]IRR MES'!$C$5:$AK$600,2),"")</f>
        <v>#REF!</v>
      </c>
      <c r="AX81" s="247" t="e">
        <f>IF(B81&lt;&gt;"",VLOOKUP(B81,'[9]IRR MES'!$C$5:$AK$600,3),"")</f>
        <v>#REF!</v>
      </c>
      <c r="AY81" s="181" t="e">
        <f>IF(B81&lt;&gt;"",VLOOKUP(B81,'[9]IRR MES'!$C$5:$AK$600,5),"")</f>
        <v>#REF!</v>
      </c>
      <c r="AZ81" s="247" t="e">
        <f>IF(B81&lt;&gt;"",VLOOKUP(B81,'[9]IRR MES'!$C$5:$AK$600,6),"")</f>
        <v>#REF!</v>
      </c>
      <c r="BA81" s="181" t="e">
        <f>IF(B81&lt;&gt;"",VLOOKUP(B81,'[9]IRR MES'!$C$5:$AK$600,8),"")</f>
        <v>#REF!</v>
      </c>
      <c r="BB81" s="247" t="e">
        <f>IF(B81&lt;&gt;"",VLOOKUP(B81,'[9]IRR MES'!$C$5:$AK$600,9),"")</f>
        <v>#REF!</v>
      </c>
      <c r="BC81" s="247" t="e">
        <f>IF(B81&lt;&gt;"",VLOOKUP(B81,'[9]IRR MES'!$C$5:$AK$600,12),"")</f>
        <v>#REF!</v>
      </c>
      <c r="BD81" s="181" t="e">
        <f>IF(B81&lt;&gt;"",VLOOKUP(B81,'[9]IRR MES'!$C$5:$AK$600,14),"")</f>
        <v>#REF!</v>
      </c>
      <c r="BE81" s="247" t="e">
        <f>IF(B81&lt;&gt;"",VLOOKUP(B81,'[9]IRR MES'!$C$5:$AK$600,15),"")</f>
        <v>#REF!</v>
      </c>
      <c r="BF81" s="181" t="e">
        <f>IF(B81&lt;&gt;"",VLOOKUP(B81,'[9]IRR MES'!$C$5:$AK$600,17),"")</f>
        <v>#REF!</v>
      </c>
      <c r="BG81" s="247" t="e">
        <f>IF(B81&lt;&gt;"",VLOOKUP(B81,'[9]IRR MES'!$C$5:$AK$600,18),"")</f>
        <v>#REF!</v>
      </c>
      <c r="BH81" s="181" t="e">
        <f>IF(B81&lt;&gt;"",VLOOKUP(B81,'[9]IRR MES'!$C$5:$AK$600,20),"")</f>
        <v>#REF!</v>
      </c>
      <c r="BI81" s="247" t="e">
        <f>IF(B81&lt;&gt;"",VLOOKUP(B81,'[9]IRR MES'!$C$5:$AK$600,21),"")</f>
        <v>#REF!</v>
      </c>
      <c r="BJ81" s="181" t="e">
        <f>IF(B81&lt;&gt;"",VLOOKUP(B81,'[9]IRR MES'!$C$5:$AK$600,23),"")</f>
        <v>#REF!</v>
      </c>
      <c r="BK81" s="247" t="e">
        <f>IF(B81&lt;&gt;"",VLOOKUP(B81,'[9]IRR MES'!$C$5:$AK$600,24),"")</f>
        <v>#REF!</v>
      </c>
      <c r="BL81" s="181" t="e">
        <f>IF(B81&lt;&gt;"",VLOOKUP(B81,'[9]IRR MES'!$C$5:$AK$600,26),"")</f>
        <v>#REF!</v>
      </c>
      <c r="BM81" s="247" t="e">
        <f>IF(B81&lt;&gt;"",VLOOKUP(B81,'[9]IRR MES'!$C$5:$AK$600,27),"")</f>
        <v>#REF!</v>
      </c>
      <c r="BN81" s="181" t="e">
        <f>IF(B81&lt;&gt;"",VLOOKUP(B81,'[9]IRR MES'!$C$5:$AK$600,29),"")</f>
        <v>#REF!</v>
      </c>
      <c r="BO81" s="247" t="e">
        <f>IF(B81&lt;&gt;"",VLOOKUP(B81,'[9]IRR MES'!$C$5:$AK$600,30),"")</f>
        <v>#REF!</v>
      </c>
      <c r="BP81" s="181" t="e">
        <f>IF(B81&lt;&gt;"",VLOOKUP(B81,'[9]IRR MES'!$C$5:$AK$600,32),"")</f>
        <v>#REF!</v>
      </c>
      <c r="BQ81" s="181" t="e">
        <f>IF(B81&lt;&gt;"",VLOOKUP(B81,'[9]IRR MES'!$C$5:$AK$600,33),"")</f>
        <v>#REF!</v>
      </c>
      <c r="BR81" s="181" t="e">
        <f t="shared" si="81"/>
        <v>#REF!</v>
      </c>
      <c r="BS81" s="181" t="e">
        <f>IF(B81&lt;&gt;"",VLOOKUP(B81,'[9]IRR MES'!$C$5:$AK$600,34),"")</f>
        <v>#REF!</v>
      </c>
      <c r="BT81" s="248" t="e">
        <f>IF(B81&lt;&gt;"",VLOOKUP(B81,'[9]IRR MES'!$C$1:$AK$600,4),"")</f>
        <v>#REF!</v>
      </c>
      <c r="BU81" s="248" t="e">
        <f>IF(B81&lt;&gt;"",VLOOKUP(B81,'[9]IRR MES'!$C$1:$AK$600,7),"")</f>
        <v>#REF!</v>
      </c>
      <c r="BV81" s="248" t="e">
        <f>IF(B81&lt;&gt;"",VLOOKUP(B81,'[9]IRR MES'!$C$1:$AK$600,10),"")</f>
        <v>#REF!</v>
      </c>
      <c r="BW81" s="248" t="e">
        <f>IF(B81&lt;&gt;"",VLOOKUP(B81,'[9]IRR MES'!$C$1:$AK$600,13),"")</f>
        <v>#REF!</v>
      </c>
      <c r="BX81" s="248" t="e">
        <f>IF(B81&lt;&gt;"",VLOOKUP(B81,'[9]IRR MES'!$C$1:$AK$600,16),"")</f>
        <v>#REF!</v>
      </c>
      <c r="BY81" s="248" t="e">
        <f>IF(B81&lt;&gt;"",VLOOKUP(B81,'[9]IRR MES'!$C$1:$AK$600,19),"")</f>
        <v>#REF!</v>
      </c>
      <c r="BZ81" s="248" t="e">
        <f>IF(B81&lt;&gt;"",VLOOKUP(B81,'[9]IRR MES'!$C$1:$AK$600,22),"")</f>
        <v>#REF!</v>
      </c>
      <c r="CA81" s="248" t="e">
        <f>IF(B81&lt;&gt;"",VLOOKUP(B81,'[9]IRR MES'!$C$1:$AK$600,25),"")</f>
        <v>#REF!</v>
      </c>
      <c r="CB81" s="248" t="e">
        <f>IF(B81&lt;&gt;"",VLOOKUP(B81,'[9]IRR MES'!$C$1:$AK$600,28),"")</f>
        <v>#REF!</v>
      </c>
      <c r="CC81" s="248" t="e">
        <f>IF(B81&lt;&gt;"",VLOOKUP(B81,'[9]IRR MES'!$C$1:$AK$600,31),"")</f>
        <v>#REF!</v>
      </c>
      <c r="CD81" s="249" t="e">
        <f>VLOOKUP(B81,#REF!,2)</f>
        <v>#REF!</v>
      </c>
      <c r="CE81" s="44"/>
    </row>
    <row r="82" spans="1:83" x14ac:dyDescent="0.2">
      <c r="A82" s="10" t="s">
        <v>60</v>
      </c>
      <c r="B82" s="65" t="e">
        <f>#REF!</f>
        <v>#REF!</v>
      </c>
      <c r="C82" s="38" t="e">
        <f>'LEVANTAMENTO DADOS'!#REF!</f>
        <v>#REF!</v>
      </c>
      <c r="D82" s="63" t="e">
        <f>'BASE DE CALCULO IR'!W83</f>
        <v>#REF!</v>
      </c>
      <c r="E82" s="63"/>
      <c r="F82" s="60"/>
      <c r="G82" s="63"/>
      <c r="H82" s="63"/>
      <c r="I82" s="63"/>
      <c r="J82" s="63"/>
      <c r="K82" s="61"/>
      <c r="L82" s="61"/>
      <c r="M82" s="61"/>
      <c r="N82" s="60"/>
      <c r="O82" s="60"/>
      <c r="P82" s="60"/>
      <c r="Q82" s="62"/>
      <c r="R82" s="62" t="e">
        <f t="shared" si="57"/>
        <v>#REF!</v>
      </c>
      <c r="S82" s="63" t="e">
        <f t="shared" si="58"/>
        <v>#REF!</v>
      </c>
      <c r="T82" s="250"/>
      <c r="U82" s="63" t="e">
        <f t="shared" si="59"/>
        <v>#REF!</v>
      </c>
      <c r="V82" s="63" t="e">
        <f>#REF!</f>
        <v>#REF!</v>
      </c>
      <c r="W82" s="63" t="e">
        <f t="shared" si="60"/>
        <v>#REF!</v>
      </c>
      <c r="X82" s="242" t="e">
        <f t="shared" si="61"/>
        <v>#REF!</v>
      </c>
      <c r="Y82" s="34" t="e">
        <f t="shared" si="62"/>
        <v>#REF!</v>
      </c>
      <c r="Z82" s="34" t="e">
        <f t="shared" si="63"/>
        <v>#REF!</v>
      </c>
      <c r="AA82" s="176" t="e">
        <f t="shared" si="55"/>
        <v>#REF!</v>
      </c>
      <c r="AB82" s="11" t="e">
        <f t="shared" si="64"/>
        <v>#REF!</v>
      </c>
      <c r="AC82" s="245" t="e">
        <f t="shared" si="65"/>
        <v>#REF!</v>
      </c>
      <c r="AD82" s="245" t="e">
        <f t="shared" si="66"/>
        <v>#REF!</v>
      </c>
      <c r="AE82" s="245"/>
      <c r="AF82" s="245" t="e">
        <f t="shared" si="67"/>
        <v>#REF!</v>
      </c>
      <c r="AG82" s="173" t="e">
        <f t="shared" si="68"/>
        <v>#REF!</v>
      </c>
      <c r="AH82" s="51" t="e">
        <f t="shared" si="69"/>
        <v>#REF!</v>
      </c>
      <c r="AI82" s="63" t="e">
        <f>IF(B82&lt;&gt;"",VLOOKUP(B82,'[9]IRR MES'!$C$15:$AK$600,32),"")</f>
        <v>#REF!</v>
      </c>
      <c r="AJ82" s="246" t="e">
        <f t="shared" si="70"/>
        <v>#REF!</v>
      </c>
      <c r="AK82" s="181" t="e">
        <f t="shared" si="71"/>
        <v>#REF!</v>
      </c>
      <c r="AL82" s="181" t="e">
        <f t="shared" si="72"/>
        <v>#REF!</v>
      </c>
      <c r="AM82" s="181" t="e">
        <f t="shared" si="73"/>
        <v>#REF!</v>
      </c>
      <c r="AN82" s="181" t="e">
        <f t="shared" si="74"/>
        <v>#REF!</v>
      </c>
      <c r="AO82" s="181" t="e">
        <f t="shared" si="75"/>
        <v>#REF!</v>
      </c>
      <c r="AP82" s="181" t="e">
        <f t="shared" si="76"/>
        <v>#REF!</v>
      </c>
      <c r="AQ82" s="181" t="e">
        <f t="shared" si="77"/>
        <v>#REF!</v>
      </c>
      <c r="AR82" s="181" t="e">
        <f t="shared" si="78"/>
        <v>#REF!</v>
      </c>
      <c r="AS82" s="181" t="e">
        <f t="shared" si="79"/>
        <v>#REF!</v>
      </c>
      <c r="AT82" s="181" t="e">
        <f t="shared" si="80"/>
        <v>#REF!</v>
      </c>
      <c r="AU82" s="181"/>
      <c r="AV82" s="63"/>
      <c r="AW82" s="181" t="e">
        <f>IF(B82&lt;&gt;"",VLOOKUP(B82,'[9]IRR MES'!$C$5:$AK$600,2),"")</f>
        <v>#REF!</v>
      </c>
      <c r="AX82" s="247" t="e">
        <f>IF(B82&lt;&gt;"",VLOOKUP(B82,'[9]IRR MES'!$C$5:$AK$600,3),"")</f>
        <v>#REF!</v>
      </c>
      <c r="AY82" s="181" t="e">
        <f>IF(B82&lt;&gt;"",VLOOKUP(B82,'[9]IRR MES'!$C$5:$AK$600,5),"")</f>
        <v>#REF!</v>
      </c>
      <c r="AZ82" s="247" t="e">
        <f>IF(B82&lt;&gt;"",VLOOKUP(B82,'[9]IRR MES'!$C$5:$AK$600,6),"")</f>
        <v>#REF!</v>
      </c>
      <c r="BA82" s="181" t="e">
        <f>IF(B82&lt;&gt;"",VLOOKUP(B82,'[9]IRR MES'!$C$5:$AK$600,8),"")</f>
        <v>#REF!</v>
      </c>
      <c r="BB82" s="247" t="e">
        <f>IF(B82&lt;&gt;"",VLOOKUP(B82,'[9]IRR MES'!$C$5:$AK$600,9),"")</f>
        <v>#REF!</v>
      </c>
      <c r="BC82" s="247" t="e">
        <f>IF(B82&lt;&gt;"",VLOOKUP(B82,'[9]IRR MES'!$C$5:$AK$600,12),"")</f>
        <v>#REF!</v>
      </c>
      <c r="BD82" s="181" t="e">
        <f>IF(B82&lt;&gt;"",VLOOKUP(B82,'[9]IRR MES'!$C$5:$AK$600,14),"")</f>
        <v>#REF!</v>
      </c>
      <c r="BE82" s="247" t="e">
        <f>IF(B82&lt;&gt;"",VLOOKUP(B82,'[9]IRR MES'!$C$5:$AK$600,15),"")</f>
        <v>#REF!</v>
      </c>
      <c r="BF82" s="181" t="e">
        <f>IF(B82&lt;&gt;"",VLOOKUP(B82,'[9]IRR MES'!$C$5:$AK$600,17),"")</f>
        <v>#REF!</v>
      </c>
      <c r="BG82" s="247" t="e">
        <f>IF(B82&lt;&gt;"",VLOOKUP(B82,'[9]IRR MES'!$C$5:$AK$600,18),"")</f>
        <v>#REF!</v>
      </c>
      <c r="BH82" s="181" t="e">
        <f>IF(B82&lt;&gt;"",VLOOKUP(B82,'[9]IRR MES'!$C$5:$AK$600,20),"")</f>
        <v>#REF!</v>
      </c>
      <c r="BI82" s="247" t="e">
        <f>IF(B82&lt;&gt;"",VLOOKUP(B82,'[9]IRR MES'!$C$5:$AK$600,21),"")</f>
        <v>#REF!</v>
      </c>
      <c r="BJ82" s="181" t="e">
        <f>IF(B82&lt;&gt;"",VLOOKUP(B82,'[9]IRR MES'!$C$5:$AK$600,23),"")</f>
        <v>#REF!</v>
      </c>
      <c r="BK82" s="247" t="e">
        <f>IF(B82&lt;&gt;"",VLOOKUP(B82,'[9]IRR MES'!$C$5:$AK$600,24),"")</f>
        <v>#REF!</v>
      </c>
      <c r="BL82" s="181" t="e">
        <f>IF(B82&lt;&gt;"",VLOOKUP(B82,'[9]IRR MES'!$C$5:$AK$600,26),"")</f>
        <v>#REF!</v>
      </c>
      <c r="BM82" s="247" t="e">
        <f>IF(B82&lt;&gt;"",VLOOKUP(B82,'[9]IRR MES'!$C$5:$AK$600,27),"")</f>
        <v>#REF!</v>
      </c>
      <c r="BN82" s="181" t="e">
        <f>IF(B82&lt;&gt;"",VLOOKUP(B82,'[9]IRR MES'!$C$5:$AK$600,29),"")</f>
        <v>#REF!</v>
      </c>
      <c r="BO82" s="247" t="e">
        <f>IF(B82&lt;&gt;"",VLOOKUP(B82,'[9]IRR MES'!$C$5:$AK$600,30),"")</f>
        <v>#REF!</v>
      </c>
      <c r="BP82" s="181" t="e">
        <f>IF(B82&lt;&gt;"",VLOOKUP(B82,'[9]IRR MES'!$C$5:$AK$600,32),"")</f>
        <v>#REF!</v>
      </c>
      <c r="BQ82" s="181" t="e">
        <f>IF(B82&lt;&gt;"",VLOOKUP(B82,'[9]IRR MES'!$C$5:$AK$600,33),"")</f>
        <v>#REF!</v>
      </c>
      <c r="BR82" s="181" t="e">
        <f t="shared" si="81"/>
        <v>#REF!</v>
      </c>
      <c r="BS82" s="181" t="e">
        <f>IF(B82&lt;&gt;"",VLOOKUP(B82,'[9]IRR MES'!$C$5:$AK$600,34),"")</f>
        <v>#REF!</v>
      </c>
      <c r="BT82" s="248" t="e">
        <f>IF(B82&lt;&gt;"",VLOOKUP(B82,'[9]IRR MES'!$C$1:$AK$600,4),"")</f>
        <v>#REF!</v>
      </c>
      <c r="BU82" s="248" t="e">
        <f>IF(B82&lt;&gt;"",VLOOKUP(B82,'[9]IRR MES'!$C$1:$AK$600,7),"")</f>
        <v>#REF!</v>
      </c>
      <c r="BV82" s="248" t="e">
        <f>IF(B82&lt;&gt;"",VLOOKUP(B82,'[9]IRR MES'!$C$1:$AK$600,10),"")</f>
        <v>#REF!</v>
      </c>
      <c r="BW82" s="248" t="e">
        <f>IF(B82&lt;&gt;"",VLOOKUP(B82,'[9]IRR MES'!$C$1:$AK$600,13),"")</f>
        <v>#REF!</v>
      </c>
      <c r="BX82" s="248" t="e">
        <f>IF(B82&lt;&gt;"",VLOOKUP(B82,'[9]IRR MES'!$C$1:$AK$600,16),"")</f>
        <v>#REF!</v>
      </c>
      <c r="BY82" s="248" t="e">
        <f>IF(B82&lt;&gt;"",VLOOKUP(B82,'[9]IRR MES'!$C$1:$AK$600,19),"")</f>
        <v>#REF!</v>
      </c>
      <c r="BZ82" s="248" t="e">
        <f>IF(B82&lt;&gt;"",VLOOKUP(B82,'[9]IRR MES'!$C$1:$AK$600,22),"")</f>
        <v>#REF!</v>
      </c>
      <c r="CA82" s="248" t="e">
        <f>IF(B82&lt;&gt;"",VLOOKUP(B82,'[9]IRR MES'!$C$1:$AK$600,25),"")</f>
        <v>#REF!</v>
      </c>
      <c r="CB82" s="248" t="e">
        <f>IF(B82&lt;&gt;"",VLOOKUP(B82,'[9]IRR MES'!$C$1:$AK$600,28),"")</f>
        <v>#REF!</v>
      </c>
      <c r="CC82" s="248" t="e">
        <f>IF(B82&lt;&gt;"",VLOOKUP(B82,'[9]IRR MES'!$C$1:$AK$600,31),"")</f>
        <v>#REF!</v>
      </c>
      <c r="CD82" s="249" t="e">
        <f>VLOOKUP(B82,#REF!,2)</f>
        <v>#REF!</v>
      </c>
      <c r="CE82" s="44"/>
    </row>
    <row r="83" spans="1:83" x14ac:dyDescent="0.2">
      <c r="A83" s="10" t="e">
        <f t="shared" si="56"/>
        <v>#REF!</v>
      </c>
      <c r="B83" s="65" t="e">
        <f>#REF!</f>
        <v>#REF!</v>
      </c>
      <c r="C83" s="38" t="e">
        <f>'LEVANTAMENTO DADOS'!#REF!</f>
        <v>#REF!</v>
      </c>
      <c r="D83" s="63" t="e">
        <f>'BASE DE CALCULO IR'!W84</f>
        <v>#REF!</v>
      </c>
      <c r="E83" s="63"/>
      <c r="F83" s="60"/>
      <c r="G83" s="63"/>
      <c r="H83" s="63"/>
      <c r="I83" s="63"/>
      <c r="J83" s="63"/>
      <c r="K83" s="61"/>
      <c r="L83" s="61"/>
      <c r="M83" s="61"/>
      <c r="N83" s="60"/>
      <c r="O83" s="60"/>
      <c r="P83" s="60"/>
      <c r="Q83" s="62"/>
      <c r="R83" s="62" t="e">
        <f t="shared" si="57"/>
        <v>#REF!</v>
      </c>
      <c r="S83" s="63" t="e">
        <f t="shared" si="58"/>
        <v>#REF!</v>
      </c>
      <c r="T83" s="250"/>
      <c r="U83" s="63" t="e">
        <f t="shared" si="59"/>
        <v>#REF!</v>
      </c>
      <c r="V83" s="63" t="e">
        <f>#REF!</f>
        <v>#REF!</v>
      </c>
      <c r="W83" s="63" t="e">
        <f t="shared" si="60"/>
        <v>#REF!</v>
      </c>
      <c r="X83" s="242" t="e">
        <f t="shared" si="61"/>
        <v>#REF!</v>
      </c>
      <c r="Y83" s="34" t="e">
        <f t="shared" si="62"/>
        <v>#REF!</v>
      </c>
      <c r="Z83" s="34" t="e">
        <f t="shared" si="63"/>
        <v>#REF!</v>
      </c>
      <c r="AA83" s="176" t="e">
        <f t="shared" si="55"/>
        <v>#REF!</v>
      </c>
      <c r="AB83" s="11" t="e">
        <f t="shared" si="64"/>
        <v>#REF!</v>
      </c>
      <c r="AC83" s="245" t="e">
        <f t="shared" si="65"/>
        <v>#REF!</v>
      </c>
      <c r="AD83" s="245" t="e">
        <f t="shared" si="66"/>
        <v>#REF!</v>
      </c>
      <c r="AE83" s="245"/>
      <c r="AF83" s="245" t="e">
        <f t="shared" si="67"/>
        <v>#REF!</v>
      </c>
      <c r="AG83" s="173" t="e">
        <f t="shared" si="68"/>
        <v>#REF!</v>
      </c>
      <c r="AH83" s="51" t="e">
        <f t="shared" si="69"/>
        <v>#REF!</v>
      </c>
      <c r="AI83" s="63" t="e">
        <f>IF(B83&lt;&gt;"",VLOOKUP(B83,'[9]IRR MES'!$C$15:$AK$600,32),"")</f>
        <v>#REF!</v>
      </c>
      <c r="AJ83" s="246" t="e">
        <f t="shared" si="70"/>
        <v>#REF!</v>
      </c>
      <c r="AK83" s="181" t="e">
        <f t="shared" si="71"/>
        <v>#REF!</v>
      </c>
      <c r="AL83" s="181" t="e">
        <f t="shared" si="72"/>
        <v>#REF!</v>
      </c>
      <c r="AM83" s="181" t="e">
        <f t="shared" si="73"/>
        <v>#REF!</v>
      </c>
      <c r="AN83" s="181" t="e">
        <f t="shared" si="74"/>
        <v>#REF!</v>
      </c>
      <c r="AO83" s="181" t="e">
        <f t="shared" si="75"/>
        <v>#REF!</v>
      </c>
      <c r="AP83" s="181" t="e">
        <f t="shared" si="76"/>
        <v>#REF!</v>
      </c>
      <c r="AQ83" s="181" t="e">
        <f t="shared" si="77"/>
        <v>#REF!</v>
      </c>
      <c r="AR83" s="181" t="e">
        <f t="shared" si="78"/>
        <v>#REF!</v>
      </c>
      <c r="AS83" s="181" t="e">
        <f t="shared" si="79"/>
        <v>#REF!</v>
      </c>
      <c r="AT83" s="181" t="e">
        <f t="shared" si="80"/>
        <v>#REF!</v>
      </c>
      <c r="AU83" s="181"/>
      <c r="AV83" s="63"/>
      <c r="AW83" s="181" t="e">
        <f>IF(B83&lt;&gt;"",VLOOKUP(B83,'[9]IRR MES'!$C$5:$AK$600,2),"")</f>
        <v>#REF!</v>
      </c>
      <c r="AX83" s="247" t="e">
        <f>IF(B83&lt;&gt;"",VLOOKUP(B83,'[9]IRR MES'!$C$5:$AK$600,3),"")</f>
        <v>#REF!</v>
      </c>
      <c r="AY83" s="181" t="e">
        <f>IF(B83&lt;&gt;"",VLOOKUP(B83,'[9]IRR MES'!$C$5:$AK$600,5),"")</f>
        <v>#REF!</v>
      </c>
      <c r="AZ83" s="247" t="e">
        <f>IF(B83&lt;&gt;"",VLOOKUP(B83,'[9]IRR MES'!$C$5:$AK$600,6),"")</f>
        <v>#REF!</v>
      </c>
      <c r="BA83" s="181" t="e">
        <f>IF(B83&lt;&gt;"",VLOOKUP(B83,'[9]IRR MES'!$C$5:$AK$600,8),"")</f>
        <v>#REF!</v>
      </c>
      <c r="BB83" s="247" t="e">
        <f>IF(B83&lt;&gt;"",VLOOKUP(B83,'[9]IRR MES'!$C$5:$AK$600,9),"")</f>
        <v>#REF!</v>
      </c>
      <c r="BC83" s="247" t="e">
        <f>IF(B83&lt;&gt;"",VLOOKUP(B83,'[9]IRR MES'!$C$5:$AK$600,12),"")</f>
        <v>#REF!</v>
      </c>
      <c r="BD83" s="181" t="e">
        <f>IF(B83&lt;&gt;"",VLOOKUP(B83,'[9]IRR MES'!$C$5:$AK$600,14),"")</f>
        <v>#REF!</v>
      </c>
      <c r="BE83" s="247" t="e">
        <f>IF(B83&lt;&gt;"",VLOOKUP(B83,'[9]IRR MES'!$C$5:$AK$600,15),"")</f>
        <v>#REF!</v>
      </c>
      <c r="BF83" s="181" t="e">
        <f>IF(B83&lt;&gt;"",VLOOKUP(B83,'[9]IRR MES'!$C$5:$AK$600,17),"")</f>
        <v>#REF!</v>
      </c>
      <c r="BG83" s="247" t="e">
        <f>IF(B83&lt;&gt;"",VLOOKUP(B83,'[9]IRR MES'!$C$5:$AK$600,18),"")</f>
        <v>#REF!</v>
      </c>
      <c r="BH83" s="181" t="e">
        <f>IF(B83&lt;&gt;"",VLOOKUP(B83,'[9]IRR MES'!$C$5:$AK$600,20),"")</f>
        <v>#REF!</v>
      </c>
      <c r="BI83" s="247" t="e">
        <f>IF(B83&lt;&gt;"",VLOOKUP(B83,'[9]IRR MES'!$C$5:$AK$600,21),"")</f>
        <v>#REF!</v>
      </c>
      <c r="BJ83" s="181" t="e">
        <f>IF(B83&lt;&gt;"",VLOOKUP(B83,'[9]IRR MES'!$C$5:$AK$600,23),"")</f>
        <v>#REF!</v>
      </c>
      <c r="BK83" s="247" t="e">
        <f>IF(B83&lt;&gt;"",VLOOKUP(B83,'[9]IRR MES'!$C$5:$AK$600,24),"")</f>
        <v>#REF!</v>
      </c>
      <c r="BL83" s="181" t="e">
        <f>IF(B83&lt;&gt;"",VLOOKUP(B83,'[9]IRR MES'!$C$5:$AK$600,26),"")</f>
        <v>#REF!</v>
      </c>
      <c r="BM83" s="247" t="e">
        <f>IF(B83&lt;&gt;"",VLOOKUP(B83,'[9]IRR MES'!$C$5:$AK$600,27),"")</f>
        <v>#REF!</v>
      </c>
      <c r="BN83" s="181" t="e">
        <f>IF(B83&lt;&gt;"",VLOOKUP(B83,'[9]IRR MES'!$C$5:$AK$600,29),"")</f>
        <v>#REF!</v>
      </c>
      <c r="BO83" s="247" t="e">
        <f>IF(B83&lt;&gt;"",VLOOKUP(B83,'[9]IRR MES'!$C$5:$AK$600,30),"")</f>
        <v>#REF!</v>
      </c>
      <c r="BP83" s="181" t="e">
        <f>IF(B83&lt;&gt;"",VLOOKUP(B83,'[9]IRR MES'!$C$5:$AK$600,32),"")</f>
        <v>#REF!</v>
      </c>
      <c r="BQ83" s="181" t="e">
        <f>IF(B83&lt;&gt;"",VLOOKUP(B83,'[9]IRR MES'!$C$5:$AK$600,33),"")</f>
        <v>#REF!</v>
      </c>
      <c r="BR83" s="181" t="e">
        <f t="shared" si="81"/>
        <v>#REF!</v>
      </c>
      <c r="BS83" s="181" t="e">
        <f>IF(B83&lt;&gt;"",VLOOKUP(B83,'[9]IRR MES'!$C$5:$AK$600,34),"")</f>
        <v>#REF!</v>
      </c>
      <c r="BT83" s="248" t="e">
        <f>IF(B83&lt;&gt;"",VLOOKUP(B83,'[9]IRR MES'!$C$1:$AK$600,4),"")</f>
        <v>#REF!</v>
      </c>
      <c r="BU83" s="248" t="e">
        <f>IF(B83&lt;&gt;"",VLOOKUP(B83,'[9]IRR MES'!$C$1:$AK$600,7),"")</f>
        <v>#REF!</v>
      </c>
      <c r="BV83" s="248" t="e">
        <f>IF(B83&lt;&gt;"",VLOOKUP(B83,'[9]IRR MES'!$C$1:$AK$600,10),"")</f>
        <v>#REF!</v>
      </c>
      <c r="BW83" s="248" t="e">
        <f>IF(B83&lt;&gt;"",VLOOKUP(B83,'[9]IRR MES'!$C$1:$AK$600,13),"")</f>
        <v>#REF!</v>
      </c>
      <c r="BX83" s="248" t="e">
        <f>IF(B83&lt;&gt;"",VLOOKUP(B83,'[9]IRR MES'!$C$1:$AK$600,16),"")</f>
        <v>#REF!</v>
      </c>
      <c r="BY83" s="248" t="e">
        <f>IF(B83&lt;&gt;"",VLOOKUP(B83,'[9]IRR MES'!$C$1:$AK$600,19),"")</f>
        <v>#REF!</v>
      </c>
      <c r="BZ83" s="248" t="e">
        <f>IF(B83&lt;&gt;"",VLOOKUP(B83,'[9]IRR MES'!$C$1:$AK$600,22),"")</f>
        <v>#REF!</v>
      </c>
      <c r="CA83" s="248" t="e">
        <f>IF(B83&lt;&gt;"",VLOOKUP(B83,'[9]IRR MES'!$C$1:$AK$600,25),"")</f>
        <v>#REF!</v>
      </c>
      <c r="CB83" s="248" t="e">
        <f>IF(B83&lt;&gt;"",VLOOKUP(B83,'[9]IRR MES'!$C$1:$AK$600,28),"")</f>
        <v>#REF!</v>
      </c>
      <c r="CC83" s="248" t="e">
        <f>IF(B83&lt;&gt;"",VLOOKUP(B83,'[9]IRR MES'!$C$1:$AK$600,31),"")</f>
        <v>#REF!</v>
      </c>
      <c r="CD83" s="249" t="e">
        <f>VLOOKUP(B83,#REF!,2)</f>
        <v>#REF!</v>
      </c>
      <c r="CE83" s="44"/>
    </row>
    <row r="84" spans="1:83" x14ac:dyDescent="0.2">
      <c r="A84" s="10" t="e">
        <f t="shared" si="56"/>
        <v>#REF!</v>
      </c>
      <c r="B84" s="65" t="e">
        <f>#REF!</f>
        <v>#REF!</v>
      </c>
      <c r="C84" s="38" t="e">
        <f>'LEVANTAMENTO DADOS'!#REF!</f>
        <v>#REF!</v>
      </c>
      <c r="D84" s="63">
        <f>'BASE DE CALCULO IR'!W85</f>
        <v>0</v>
      </c>
      <c r="E84" s="63"/>
      <c r="F84" s="60"/>
      <c r="G84" s="63"/>
      <c r="H84" s="63"/>
      <c r="I84" s="63"/>
      <c r="J84" s="63"/>
      <c r="K84" s="61"/>
      <c r="L84" s="61"/>
      <c r="M84" s="61"/>
      <c r="N84" s="60"/>
      <c r="O84" s="60"/>
      <c r="P84" s="60"/>
      <c r="Q84" s="62"/>
      <c r="R84" s="62" t="e">
        <f t="shared" si="57"/>
        <v>#REF!</v>
      </c>
      <c r="S84" s="63" t="e">
        <f t="shared" si="58"/>
        <v>#REF!</v>
      </c>
      <c r="T84" s="250"/>
      <c r="U84" s="63" t="e">
        <f t="shared" si="59"/>
        <v>#REF!</v>
      </c>
      <c r="V84" s="63" t="e">
        <f>#REF!</f>
        <v>#REF!</v>
      </c>
      <c r="W84" s="63" t="e">
        <f t="shared" si="60"/>
        <v>#REF!</v>
      </c>
      <c r="X84" s="242" t="e">
        <f t="shared" si="61"/>
        <v>#REF!</v>
      </c>
      <c r="Y84" s="34" t="e">
        <f t="shared" si="62"/>
        <v>#REF!</v>
      </c>
      <c r="Z84" s="34" t="e">
        <f t="shared" si="63"/>
        <v>#REF!</v>
      </c>
      <c r="AA84" s="176" t="e">
        <f t="shared" si="55"/>
        <v>#REF!</v>
      </c>
      <c r="AB84" s="11" t="e">
        <f t="shared" si="64"/>
        <v>#REF!</v>
      </c>
      <c r="AC84" s="245" t="e">
        <f t="shared" si="65"/>
        <v>#REF!</v>
      </c>
      <c r="AD84" s="245" t="e">
        <f t="shared" si="66"/>
        <v>#REF!</v>
      </c>
      <c r="AE84" s="245"/>
      <c r="AF84" s="245" t="e">
        <f t="shared" si="67"/>
        <v>#REF!</v>
      </c>
      <c r="AG84" s="173" t="e">
        <f t="shared" si="68"/>
        <v>#REF!</v>
      </c>
      <c r="AH84" s="51" t="e">
        <f t="shared" si="69"/>
        <v>#REF!</v>
      </c>
      <c r="AI84" s="63" t="e">
        <f>IF(B84&lt;&gt;"",VLOOKUP(B84,'[9]IRR MES'!$C$15:$AK$600,32),"")</f>
        <v>#REF!</v>
      </c>
      <c r="AJ84" s="246" t="e">
        <f t="shared" si="70"/>
        <v>#REF!</v>
      </c>
      <c r="AK84" s="181" t="e">
        <f t="shared" si="71"/>
        <v>#REF!</v>
      </c>
      <c r="AL84" s="181" t="e">
        <f t="shared" si="72"/>
        <v>#REF!</v>
      </c>
      <c r="AM84" s="181" t="e">
        <f t="shared" si="73"/>
        <v>#REF!</v>
      </c>
      <c r="AN84" s="181" t="e">
        <f t="shared" si="74"/>
        <v>#REF!</v>
      </c>
      <c r="AO84" s="181" t="e">
        <f t="shared" si="75"/>
        <v>#REF!</v>
      </c>
      <c r="AP84" s="181" t="e">
        <f t="shared" si="76"/>
        <v>#REF!</v>
      </c>
      <c r="AQ84" s="181" t="e">
        <f t="shared" si="77"/>
        <v>#REF!</v>
      </c>
      <c r="AR84" s="181" t="e">
        <f t="shared" si="78"/>
        <v>#REF!</v>
      </c>
      <c r="AS84" s="181" t="e">
        <f t="shared" si="79"/>
        <v>#REF!</v>
      </c>
      <c r="AT84" s="181" t="e">
        <f t="shared" si="80"/>
        <v>#REF!</v>
      </c>
      <c r="AU84" s="181"/>
      <c r="AV84" s="63"/>
      <c r="AW84" s="181" t="e">
        <f>IF(B84&lt;&gt;"",VLOOKUP(B84,'[9]IRR MES'!$C$5:$AK$600,2),"")</f>
        <v>#REF!</v>
      </c>
      <c r="AX84" s="247" t="e">
        <f>IF(B84&lt;&gt;"",VLOOKUP(B84,'[9]IRR MES'!$C$5:$AK$600,3),"")</f>
        <v>#REF!</v>
      </c>
      <c r="AY84" s="181" t="e">
        <f>IF(B84&lt;&gt;"",VLOOKUP(B84,'[9]IRR MES'!$C$5:$AK$600,5),"")</f>
        <v>#REF!</v>
      </c>
      <c r="AZ84" s="247" t="e">
        <f>IF(B84&lt;&gt;"",VLOOKUP(B84,'[9]IRR MES'!$C$5:$AK$600,6),"")</f>
        <v>#REF!</v>
      </c>
      <c r="BA84" s="181" t="e">
        <f>IF(B84&lt;&gt;"",VLOOKUP(B84,'[9]IRR MES'!$C$5:$AK$600,8),"")</f>
        <v>#REF!</v>
      </c>
      <c r="BB84" s="247" t="e">
        <f>IF(B84&lt;&gt;"",VLOOKUP(B84,'[9]IRR MES'!$C$5:$AK$600,9),"")</f>
        <v>#REF!</v>
      </c>
      <c r="BC84" s="247" t="e">
        <f>IF(B84&lt;&gt;"",VLOOKUP(B84,'[9]IRR MES'!$C$5:$AK$600,12),"")</f>
        <v>#REF!</v>
      </c>
      <c r="BD84" s="181" t="e">
        <f>IF(B84&lt;&gt;"",VLOOKUP(B84,'[9]IRR MES'!$C$5:$AK$600,14),"")</f>
        <v>#REF!</v>
      </c>
      <c r="BE84" s="247" t="e">
        <f>IF(B84&lt;&gt;"",VLOOKUP(B84,'[9]IRR MES'!$C$5:$AK$600,15),"")</f>
        <v>#REF!</v>
      </c>
      <c r="BF84" s="181" t="e">
        <f>IF(B84&lt;&gt;"",VLOOKUP(B84,'[9]IRR MES'!$C$5:$AK$600,17),"")</f>
        <v>#REF!</v>
      </c>
      <c r="BG84" s="247" t="e">
        <f>IF(B84&lt;&gt;"",VLOOKUP(B84,'[9]IRR MES'!$C$5:$AK$600,18),"")</f>
        <v>#REF!</v>
      </c>
      <c r="BH84" s="181" t="e">
        <f>IF(B84&lt;&gt;"",VLOOKUP(B84,'[9]IRR MES'!$C$5:$AK$600,20),"")</f>
        <v>#REF!</v>
      </c>
      <c r="BI84" s="247" t="e">
        <f>IF(B84&lt;&gt;"",VLOOKUP(B84,'[9]IRR MES'!$C$5:$AK$600,21),"")</f>
        <v>#REF!</v>
      </c>
      <c r="BJ84" s="181" t="e">
        <f>IF(B84&lt;&gt;"",VLOOKUP(B84,'[9]IRR MES'!$C$5:$AK$600,23),"")</f>
        <v>#REF!</v>
      </c>
      <c r="BK84" s="247" t="e">
        <f>IF(B84&lt;&gt;"",VLOOKUP(B84,'[9]IRR MES'!$C$5:$AK$600,24),"")</f>
        <v>#REF!</v>
      </c>
      <c r="BL84" s="181" t="e">
        <f>IF(B84&lt;&gt;"",VLOOKUP(B84,'[9]IRR MES'!$C$5:$AK$600,26),"")</f>
        <v>#REF!</v>
      </c>
      <c r="BM84" s="247" t="e">
        <f>IF(B84&lt;&gt;"",VLOOKUP(B84,'[9]IRR MES'!$C$5:$AK$600,27),"")</f>
        <v>#REF!</v>
      </c>
      <c r="BN84" s="181" t="e">
        <f>IF(B84&lt;&gt;"",VLOOKUP(B84,'[9]IRR MES'!$C$5:$AK$600,29),"")</f>
        <v>#REF!</v>
      </c>
      <c r="BO84" s="247" t="e">
        <f>IF(B84&lt;&gt;"",VLOOKUP(B84,'[9]IRR MES'!$C$5:$AK$600,30),"")</f>
        <v>#REF!</v>
      </c>
      <c r="BP84" s="181" t="e">
        <f>IF(B84&lt;&gt;"",VLOOKUP(B84,'[9]IRR MES'!$C$5:$AK$600,32),"")</f>
        <v>#REF!</v>
      </c>
      <c r="BQ84" s="181" t="e">
        <f>IF(B84&lt;&gt;"",VLOOKUP(B84,'[9]IRR MES'!$C$5:$AK$600,33),"")</f>
        <v>#REF!</v>
      </c>
      <c r="BR84" s="181" t="e">
        <f t="shared" si="81"/>
        <v>#REF!</v>
      </c>
      <c r="BS84" s="181" t="e">
        <f>IF(B84&lt;&gt;"",VLOOKUP(B84,'[9]IRR MES'!$C$5:$AK$600,34),"")</f>
        <v>#REF!</v>
      </c>
      <c r="BT84" s="248" t="e">
        <f>IF(B84&lt;&gt;"",VLOOKUP(B84,'[9]IRR MES'!$C$1:$AK$600,4),"")</f>
        <v>#REF!</v>
      </c>
      <c r="BU84" s="248" t="e">
        <f>IF(B84&lt;&gt;"",VLOOKUP(B84,'[9]IRR MES'!$C$1:$AK$600,7),"")</f>
        <v>#REF!</v>
      </c>
      <c r="BV84" s="248" t="e">
        <f>IF(B84&lt;&gt;"",VLOOKUP(B84,'[9]IRR MES'!$C$1:$AK$600,10),"")</f>
        <v>#REF!</v>
      </c>
      <c r="BW84" s="248" t="e">
        <f>IF(B84&lt;&gt;"",VLOOKUP(B84,'[9]IRR MES'!$C$1:$AK$600,13),"")</f>
        <v>#REF!</v>
      </c>
      <c r="BX84" s="248" t="e">
        <f>IF(B84&lt;&gt;"",VLOOKUP(B84,'[9]IRR MES'!$C$1:$AK$600,16),"")</f>
        <v>#REF!</v>
      </c>
      <c r="BY84" s="248" t="e">
        <f>IF(B84&lt;&gt;"",VLOOKUP(B84,'[9]IRR MES'!$C$1:$AK$600,19),"")</f>
        <v>#REF!</v>
      </c>
      <c r="BZ84" s="248" t="e">
        <f>IF(B84&lt;&gt;"",VLOOKUP(B84,'[9]IRR MES'!$C$1:$AK$600,22),"")</f>
        <v>#REF!</v>
      </c>
      <c r="CA84" s="248" t="e">
        <f>IF(B84&lt;&gt;"",VLOOKUP(B84,'[9]IRR MES'!$C$1:$AK$600,25),"")</f>
        <v>#REF!</v>
      </c>
      <c r="CB84" s="248" t="e">
        <f>IF(B84&lt;&gt;"",VLOOKUP(B84,'[9]IRR MES'!$C$1:$AK$600,28),"")</f>
        <v>#REF!</v>
      </c>
      <c r="CC84" s="248" t="e">
        <f>IF(B84&lt;&gt;"",VLOOKUP(B84,'[9]IRR MES'!$C$1:$AK$600,31),"")</f>
        <v>#REF!</v>
      </c>
      <c r="CD84" s="249" t="e">
        <f>VLOOKUP(B84,#REF!,2)</f>
        <v>#REF!</v>
      </c>
      <c r="CE84" s="44"/>
    </row>
    <row r="85" spans="1:83" x14ac:dyDescent="0.2">
      <c r="A85" s="10" t="s">
        <v>60</v>
      </c>
      <c r="B85" s="65"/>
      <c r="C85" s="38"/>
      <c r="D85" s="63"/>
      <c r="E85" s="63"/>
      <c r="F85" s="60"/>
      <c r="G85" s="63"/>
      <c r="H85" s="63"/>
      <c r="I85" s="63"/>
      <c r="J85" s="63"/>
      <c r="K85" s="61"/>
      <c r="L85" s="61"/>
      <c r="M85" s="61"/>
      <c r="N85" s="60"/>
      <c r="O85" s="60"/>
      <c r="P85" s="60"/>
      <c r="Q85" s="62"/>
      <c r="R85" s="62"/>
      <c r="S85" s="63"/>
      <c r="T85" s="250"/>
      <c r="U85" s="63"/>
      <c r="V85" s="63"/>
      <c r="W85" s="63"/>
      <c r="X85" s="242"/>
      <c r="Y85" s="34"/>
      <c r="Z85" s="34"/>
      <c r="AA85" s="176"/>
      <c r="AB85" s="11"/>
      <c r="AC85" s="245"/>
      <c r="AD85" s="245"/>
      <c r="AE85" s="245"/>
      <c r="AF85" s="245"/>
      <c r="AG85" s="173"/>
      <c r="AH85" s="51"/>
      <c r="AI85" s="63"/>
      <c r="AJ85" s="246"/>
      <c r="AK85" s="181"/>
      <c r="AL85" s="181"/>
      <c r="AM85" s="181"/>
      <c r="AN85" s="181"/>
      <c r="AO85" s="181"/>
      <c r="AP85" s="181"/>
      <c r="AQ85" s="181"/>
      <c r="AR85" s="181"/>
      <c r="AS85" s="181"/>
      <c r="AT85" s="181"/>
      <c r="AU85" s="181"/>
      <c r="AV85" s="63"/>
      <c r="AW85" s="181"/>
      <c r="AX85" s="247"/>
      <c r="AY85" s="181"/>
      <c r="AZ85" s="247"/>
      <c r="BA85" s="181"/>
      <c r="BB85" s="247"/>
      <c r="BC85" s="247"/>
      <c r="BD85" s="181"/>
      <c r="BE85" s="247"/>
      <c r="BF85" s="181"/>
      <c r="BG85" s="247"/>
      <c r="BH85" s="181"/>
      <c r="BI85" s="247"/>
      <c r="BJ85" s="181"/>
      <c r="BK85" s="247"/>
      <c r="BL85" s="181"/>
      <c r="BM85" s="247"/>
      <c r="BN85" s="181"/>
      <c r="BO85" s="247"/>
      <c r="BP85" s="181"/>
      <c r="BQ85" s="181"/>
      <c r="BR85" s="181"/>
      <c r="BS85" s="181"/>
      <c r="BT85" s="248"/>
      <c r="BU85" s="248"/>
      <c r="BV85" s="248"/>
      <c r="BW85" s="248"/>
      <c r="BX85" s="248"/>
      <c r="BY85" s="248"/>
      <c r="BZ85" s="248"/>
      <c r="CA85" s="248"/>
      <c r="CB85" s="248"/>
      <c r="CC85" s="248"/>
      <c r="CD85" s="249"/>
      <c r="CE85" s="44"/>
    </row>
    <row r="86" spans="1:83" ht="6" customHeight="1" x14ac:dyDescent="0.2">
      <c r="A86" s="10" t="s">
        <v>60</v>
      </c>
      <c r="B86" s="309"/>
      <c r="C86" s="310"/>
      <c r="D86" s="174"/>
      <c r="E86" s="174"/>
      <c r="F86" s="169"/>
      <c r="G86" s="174"/>
      <c r="H86" s="174"/>
      <c r="I86" s="174"/>
      <c r="J86" s="174"/>
      <c r="K86" s="170"/>
      <c r="L86" s="170"/>
      <c r="M86" s="170"/>
      <c r="N86" s="169"/>
      <c r="O86" s="169"/>
      <c r="P86" s="169"/>
      <c r="Q86" s="171"/>
      <c r="R86" s="171"/>
      <c r="S86" s="174"/>
      <c r="T86" s="311"/>
      <c r="U86" s="174"/>
      <c r="V86" s="174"/>
      <c r="W86" s="174"/>
      <c r="X86" s="312"/>
      <c r="Y86" s="174"/>
      <c r="Z86" s="174"/>
      <c r="AA86" s="179"/>
      <c r="AB86" s="313"/>
      <c r="AC86" s="314"/>
      <c r="AD86" s="314"/>
      <c r="AE86" s="314"/>
      <c r="AF86" s="314"/>
      <c r="AG86" s="175"/>
      <c r="AH86" s="315"/>
      <c r="AI86" s="63"/>
      <c r="AJ86" s="246"/>
      <c r="AK86" s="181"/>
      <c r="AL86" s="181"/>
      <c r="AM86" s="181"/>
      <c r="AN86" s="181"/>
      <c r="AO86" s="181"/>
      <c r="AP86" s="181"/>
      <c r="AQ86" s="181"/>
      <c r="AR86" s="181"/>
      <c r="AS86" s="181"/>
      <c r="AT86" s="181"/>
      <c r="AU86" s="181"/>
      <c r="AV86" s="63"/>
      <c r="AW86" s="181"/>
      <c r="AX86" s="247"/>
      <c r="AY86" s="181"/>
      <c r="AZ86" s="247"/>
      <c r="BA86" s="181"/>
      <c r="BB86" s="247"/>
      <c r="BC86" s="247"/>
      <c r="BD86" s="181"/>
      <c r="BE86" s="247"/>
      <c r="BF86" s="181"/>
      <c r="BG86" s="247"/>
      <c r="BH86" s="181"/>
      <c r="BI86" s="247"/>
      <c r="BJ86" s="181"/>
      <c r="BK86" s="247"/>
      <c r="BL86" s="181"/>
      <c r="BM86" s="247"/>
      <c r="BN86" s="181"/>
      <c r="BO86" s="247"/>
      <c r="BP86" s="181"/>
      <c r="BQ86" s="181"/>
      <c r="BR86" s="181"/>
      <c r="BS86" s="181"/>
      <c r="BT86" s="248"/>
      <c r="BU86" s="248"/>
      <c r="BV86" s="248"/>
      <c r="BW86" s="248"/>
      <c r="BX86" s="248"/>
      <c r="BY86" s="248"/>
      <c r="BZ86" s="248"/>
      <c r="CA86" s="248"/>
      <c r="CB86" s="248"/>
      <c r="CC86" s="248"/>
      <c r="CD86" s="249"/>
      <c r="CE86" s="44"/>
    </row>
    <row r="87" spans="1:83" x14ac:dyDescent="0.2">
      <c r="A87" s="10" t="s">
        <v>60</v>
      </c>
      <c r="B87" s="67" t="s">
        <v>24</v>
      </c>
      <c r="C87" s="38"/>
      <c r="D87" s="63"/>
      <c r="E87" s="63"/>
      <c r="F87" s="60"/>
      <c r="G87" s="63"/>
      <c r="H87" s="63"/>
      <c r="I87" s="63"/>
      <c r="J87" s="63"/>
      <c r="K87" s="61"/>
      <c r="L87" s="61"/>
      <c r="M87" s="61"/>
      <c r="N87" s="60"/>
      <c r="O87" s="60"/>
      <c r="P87" s="60"/>
      <c r="Q87" s="62"/>
      <c r="R87" s="62"/>
      <c r="S87" s="63"/>
      <c r="T87" s="250"/>
      <c r="U87" s="63"/>
      <c r="V87" s="63"/>
      <c r="W87" s="63"/>
      <c r="X87" s="242"/>
      <c r="Y87" s="34"/>
      <c r="Z87" s="34"/>
      <c r="AA87" s="176"/>
      <c r="AB87" s="11"/>
      <c r="AC87" s="245"/>
      <c r="AD87" s="245"/>
      <c r="AE87" s="245"/>
      <c r="AF87" s="245"/>
      <c r="AG87" s="173"/>
      <c r="AH87" s="51"/>
      <c r="AI87" s="63"/>
      <c r="AJ87" s="246"/>
      <c r="AK87" s="181"/>
      <c r="AL87" s="181"/>
      <c r="AM87" s="181"/>
      <c r="AN87" s="181"/>
      <c r="AO87" s="181"/>
      <c r="AP87" s="181"/>
      <c r="AQ87" s="181"/>
      <c r="AR87" s="181"/>
      <c r="AS87" s="181"/>
      <c r="AT87" s="181"/>
      <c r="AU87" s="181"/>
      <c r="AV87" s="63"/>
      <c r="AW87" s="181"/>
      <c r="AX87" s="247"/>
      <c r="AY87" s="181"/>
      <c r="AZ87" s="247"/>
      <c r="BA87" s="181"/>
      <c r="BB87" s="247"/>
      <c r="BC87" s="247"/>
      <c r="BD87" s="181"/>
      <c r="BE87" s="247"/>
      <c r="BF87" s="181"/>
      <c r="BG87" s="247"/>
      <c r="BH87" s="181"/>
      <c r="BI87" s="247"/>
      <c r="BJ87" s="181"/>
      <c r="BK87" s="247"/>
      <c r="BL87" s="181"/>
      <c r="BM87" s="247"/>
      <c r="BN87" s="181"/>
      <c r="BO87" s="247"/>
      <c r="BP87" s="181"/>
      <c r="BQ87" s="181"/>
      <c r="BR87" s="181"/>
      <c r="BS87" s="181"/>
      <c r="BT87" s="248"/>
      <c r="BU87" s="248"/>
      <c r="BV87" s="248"/>
      <c r="BW87" s="248"/>
      <c r="BX87" s="248"/>
      <c r="BY87" s="248"/>
      <c r="BZ87" s="248"/>
      <c r="CA87" s="248"/>
      <c r="CB87" s="248"/>
      <c r="CC87" s="248"/>
      <c r="CD87" s="249"/>
      <c r="CE87" s="44"/>
    </row>
    <row r="88" spans="1:83" x14ac:dyDescent="0.2">
      <c r="A88" s="10" t="s">
        <v>60</v>
      </c>
      <c r="B88" s="65" t="e">
        <f>data_calc</f>
        <v>#REF!</v>
      </c>
      <c r="C88" s="38">
        <v>0</v>
      </c>
      <c r="D88" s="63" t="e">
        <f>'JUROS SOBRE IR'!F65</f>
        <v>#REF!</v>
      </c>
      <c r="E88" s="63"/>
      <c r="F88" s="60"/>
      <c r="G88" s="63"/>
      <c r="H88" s="63"/>
      <c r="I88" s="63"/>
      <c r="J88" s="63"/>
      <c r="K88" s="61"/>
      <c r="L88" s="61"/>
      <c r="M88" s="61"/>
      <c r="N88" s="60"/>
      <c r="O88" s="60"/>
      <c r="P88" s="60"/>
      <c r="Q88" s="62"/>
      <c r="R88" s="62" t="e">
        <f>SUM(C88:Q88)</f>
        <v>#REF!</v>
      </c>
      <c r="S88" s="63" t="e">
        <f>IF(C88&lt;&gt;"",C88+R88,R88)</f>
        <v>#REF!</v>
      </c>
      <c r="T88" s="250"/>
      <c r="U88" s="63" t="e">
        <f>IF(B88&lt;&gt;"",AI88*T88,"")</f>
        <v>#REF!</v>
      </c>
      <c r="V88" s="63">
        <v>0</v>
      </c>
      <c r="W88" s="63" t="e">
        <f>IF(C88&lt;&gt;"",IF(AND(AE88&gt;0,R88&gt;0),S88-U88-V88,IF(AI88&lt;&gt;"",R88-U88-V88)),IF(C88="",IF(AI88&lt;&gt;"",R88-U88-V88)))</f>
        <v>#REF!</v>
      </c>
      <c r="X88" s="242" t="e">
        <f>SUM(D88:Q88)-U88-V88</f>
        <v>#REF!</v>
      </c>
      <c r="Y88" s="34" t="e">
        <f>AW88</f>
        <v>#REF!</v>
      </c>
      <c r="Z88" s="34" t="e">
        <f>X88</f>
        <v>#REF!</v>
      </c>
      <c r="AA88" s="176" t="e">
        <f>IF(B88&lt;&gt;"",IF(R88&gt;Y88,LOOKUP(R88,AW88:BO88,AW88:BS88),""),"")</f>
        <v>#REF!</v>
      </c>
      <c r="AB88" s="11" t="e">
        <f>IF(W88&gt;Y88,X88*AA88,0)</f>
        <v>#REF!</v>
      </c>
      <c r="AC88" s="245" t="e">
        <f>IF(B88&lt;&gt;"",MAX(AK88:AU88),"")</f>
        <v>#REF!</v>
      </c>
      <c r="AD88" s="245" t="e">
        <f>IF(AA88&lt;&gt;"",(X88*AA88)-AC88,"ISENTO")</f>
        <v>#REF!</v>
      </c>
      <c r="AE88" s="245"/>
      <c r="AF88" s="245" t="e">
        <f>IF(AD88&lt;&gt;"isento",AD88-AE88,0)</f>
        <v>#REF!</v>
      </c>
      <c r="AG88" s="173">
        <f>CD88</f>
        <v>1</v>
      </c>
      <c r="AH88" s="51" t="e">
        <f>IF(AF88&gt;0,AF88*CD88,0)</f>
        <v>#REF!</v>
      </c>
      <c r="AI88" s="63" t="e">
        <f>IF(B88&lt;&gt;"",VLOOKUP(B88,'[9]IRR MES'!$C$15:$AK$600,32),"")</f>
        <v>#REF!</v>
      </c>
      <c r="AJ88" s="246" t="e">
        <f>B88</f>
        <v>#REF!</v>
      </c>
      <c r="AK88" s="181" t="e">
        <f>IF(B88&lt;&gt;"",IF(AA88=AX88,BT88,""),"")</f>
        <v>#REF!</v>
      </c>
      <c r="AL88" s="181" t="e">
        <f>IF(B88&lt;&gt;"",IF(AA88=AZ88,BU88,""),"")</f>
        <v>#REF!</v>
      </c>
      <c r="AM88" s="181" t="e">
        <f>IF(B88&lt;&gt;"",IF(AA88=BB88,BV88,""),"")</f>
        <v>#REF!</v>
      </c>
      <c r="AN88" s="181" t="e">
        <f>IF(B88&lt;&gt;"",IF(AA88=BC88,BW88,""),"")</f>
        <v>#REF!</v>
      </c>
      <c r="AO88" s="181" t="e">
        <f>IF(B88&lt;&gt;"",IF(AA88=BE88,BX88,""),"")</f>
        <v>#REF!</v>
      </c>
      <c r="AP88" s="181" t="e">
        <f>IF(B88&lt;&gt;"",IF(AA88=BG88,BY88,""),"")</f>
        <v>#REF!</v>
      </c>
      <c r="AQ88" s="181" t="e">
        <f>IF(B88&lt;&gt;"",IF(AA88=BI88,BZ88,""),"")</f>
        <v>#REF!</v>
      </c>
      <c r="AR88" s="181" t="e">
        <f>IF(B88&lt;&gt;"",IF(AA88=BK88,CA88,""),"")</f>
        <v>#REF!</v>
      </c>
      <c r="AS88" s="181" t="e">
        <f>IF(B88&lt;&gt;"",IF(AA88=BM88,CB88,""),"")</f>
        <v>#REF!</v>
      </c>
      <c r="AT88" s="181" t="e">
        <f>IF(B88&lt;&gt;"",IF(AA88=BO88,CC88,""),"")</f>
        <v>#REF!</v>
      </c>
      <c r="AU88" s="181"/>
      <c r="AV88" s="63"/>
      <c r="AW88" s="181" t="e">
        <f>IF(B88&lt;&gt;"",VLOOKUP(B88,'[9]IRR MES'!$C$5:$AK$600,2),"")</f>
        <v>#REF!</v>
      </c>
      <c r="AX88" s="247" t="e">
        <f>IF(B88&lt;&gt;"",VLOOKUP(B88,'[9]IRR MES'!$C$5:$AK$600,3),"")</f>
        <v>#REF!</v>
      </c>
      <c r="AY88" s="181" t="e">
        <f>IF(B88&lt;&gt;"",VLOOKUP(B88,'[9]IRR MES'!$C$5:$AK$600,5),"")</f>
        <v>#REF!</v>
      </c>
      <c r="AZ88" s="247" t="e">
        <f>IF(B88&lt;&gt;"",VLOOKUP(B88,'[9]IRR MES'!$C$5:$AK$600,6),"")</f>
        <v>#REF!</v>
      </c>
      <c r="BA88" s="181" t="e">
        <f>IF(B88&lt;&gt;"",VLOOKUP(B88,'[9]IRR MES'!$C$5:$AK$600,8),"")</f>
        <v>#REF!</v>
      </c>
      <c r="BB88" s="247" t="e">
        <f>IF(B88&lt;&gt;"",VLOOKUP(B88,'[9]IRR MES'!$C$5:$AK$600,9),"")</f>
        <v>#REF!</v>
      </c>
      <c r="BC88" s="247" t="e">
        <f>IF(B88&lt;&gt;"",VLOOKUP(B88,'[9]IRR MES'!$C$5:$AK$600,12),"")</f>
        <v>#REF!</v>
      </c>
      <c r="BD88" s="181" t="e">
        <f>IF(B88&lt;&gt;"",VLOOKUP(B88,'[9]IRR MES'!$C$5:$AK$600,14),"")</f>
        <v>#REF!</v>
      </c>
      <c r="BE88" s="247" t="e">
        <f>IF(B88&lt;&gt;"",VLOOKUP(B88,'[9]IRR MES'!$C$5:$AK$600,15),"")</f>
        <v>#REF!</v>
      </c>
      <c r="BF88" s="181" t="e">
        <f>IF(B88&lt;&gt;"",VLOOKUP(B88,'[9]IRR MES'!$C$5:$AK$600,17),"")</f>
        <v>#REF!</v>
      </c>
      <c r="BG88" s="247" t="e">
        <f>IF(B88&lt;&gt;"",VLOOKUP(B88,'[9]IRR MES'!$C$5:$AK$600,18),"")</f>
        <v>#REF!</v>
      </c>
      <c r="BH88" s="181" t="e">
        <f>IF(B88&lt;&gt;"",VLOOKUP(B88,'[9]IRR MES'!$C$5:$AK$600,20),"")</f>
        <v>#REF!</v>
      </c>
      <c r="BI88" s="247" t="e">
        <f>IF(B88&lt;&gt;"",VLOOKUP(B88,'[9]IRR MES'!$C$5:$AK$600,21),"")</f>
        <v>#REF!</v>
      </c>
      <c r="BJ88" s="181" t="e">
        <f>IF(B88&lt;&gt;"",VLOOKUP(B88,'[9]IRR MES'!$C$5:$AK$600,23),"")</f>
        <v>#REF!</v>
      </c>
      <c r="BK88" s="247" t="e">
        <f>IF(B88&lt;&gt;"",VLOOKUP(B88,'[9]IRR MES'!$C$5:$AK$600,24),"")</f>
        <v>#REF!</v>
      </c>
      <c r="BL88" s="181" t="e">
        <f>IF(B88&lt;&gt;"",VLOOKUP(B88,'[9]IRR MES'!$C$5:$AK$600,26),"")</f>
        <v>#REF!</v>
      </c>
      <c r="BM88" s="247" t="e">
        <f>IF(B88&lt;&gt;"",VLOOKUP(B88,'[9]IRR MES'!$C$5:$AK$600,27),"")</f>
        <v>#REF!</v>
      </c>
      <c r="BN88" s="181" t="e">
        <f>IF(B88&lt;&gt;"",VLOOKUP(B88,'[9]IRR MES'!$C$5:$AK$600,29),"")</f>
        <v>#REF!</v>
      </c>
      <c r="BO88" s="247" t="e">
        <f>IF(B88&lt;&gt;"",VLOOKUP(B88,'[9]IRR MES'!$C$5:$AK$600,30),"")</f>
        <v>#REF!</v>
      </c>
      <c r="BP88" s="181" t="e">
        <f>IF(B88&lt;&gt;"",VLOOKUP(B88,'[9]IRR MES'!$C$5:$AK$600,32),"")</f>
        <v>#REF!</v>
      </c>
      <c r="BQ88" s="181" t="e">
        <f>IF(B88&lt;&gt;"",VLOOKUP(B88,'[9]IRR MES'!$C$5:$AK$600,33),"")</f>
        <v>#REF!</v>
      </c>
      <c r="BR88" s="181" t="e">
        <f>IF(B88&lt;&gt;"",VLOOKUP(B88,$D$5:$AO$611,34),"")</f>
        <v>#REF!</v>
      </c>
      <c r="BS88" s="181" t="e">
        <f>IF(B88&lt;&gt;"",VLOOKUP(B88,'[9]IRR MES'!$C$5:$AK$600,34),"")</f>
        <v>#REF!</v>
      </c>
      <c r="BT88" s="248" t="e">
        <f>IF(B88&lt;&gt;"",VLOOKUP(B88,'[9]IRR MES'!$C$1:$AK$600,4),"")</f>
        <v>#REF!</v>
      </c>
      <c r="BU88" s="248" t="e">
        <f>IF(B88&lt;&gt;"",VLOOKUP(B88,'[9]IRR MES'!$C$1:$AK$600,7),"")</f>
        <v>#REF!</v>
      </c>
      <c r="BV88" s="248" t="e">
        <f>IF(B88&lt;&gt;"",VLOOKUP(B88,'[9]IRR MES'!$C$1:$AK$600,10),"")</f>
        <v>#REF!</v>
      </c>
      <c r="BW88" s="248" t="e">
        <f>IF(B88&lt;&gt;"",VLOOKUP(B88,'[9]IRR MES'!$C$1:$AK$600,13),"")</f>
        <v>#REF!</v>
      </c>
      <c r="BX88" s="248" t="e">
        <f>IF(B88&lt;&gt;"",VLOOKUP(B88,'[9]IRR MES'!$C$1:$AK$600,16),"")</f>
        <v>#REF!</v>
      </c>
      <c r="BY88" s="248" t="e">
        <f>IF(B88&lt;&gt;"",VLOOKUP(B88,'[9]IRR MES'!$C$1:$AK$600,19),"")</f>
        <v>#REF!</v>
      </c>
      <c r="BZ88" s="248" t="e">
        <f>IF(B88&lt;&gt;"",VLOOKUP(B88,'[9]IRR MES'!$C$1:$AK$600,22),"")</f>
        <v>#REF!</v>
      </c>
      <c r="CA88" s="248" t="e">
        <f>IF(B88&lt;&gt;"",VLOOKUP(B88,'[9]IRR MES'!$C$1:$AK$600,25),"")</f>
        <v>#REF!</v>
      </c>
      <c r="CB88" s="248" t="e">
        <f>IF(B88&lt;&gt;"",VLOOKUP(B88,'[9]IRR MES'!$C$1:$AK$600,28),"")</f>
        <v>#REF!</v>
      </c>
      <c r="CC88" s="248" t="e">
        <f>IF(B88&lt;&gt;"",VLOOKUP(B88,'[9]IRR MES'!$C$1:$AK$600,31),"")</f>
        <v>#REF!</v>
      </c>
      <c r="CD88" s="249">
        <v>1</v>
      </c>
      <c r="CE88" s="44"/>
    </row>
    <row r="89" spans="1:83" x14ac:dyDescent="0.2">
      <c r="A89" s="10" t="s">
        <v>60</v>
      </c>
      <c r="B89" s="65"/>
      <c r="C89" s="38"/>
      <c r="D89" s="63"/>
      <c r="E89" s="63"/>
      <c r="F89" s="60"/>
      <c r="G89" s="63"/>
      <c r="H89" s="63"/>
      <c r="I89" s="63"/>
      <c r="J89" s="63"/>
      <c r="K89" s="61"/>
      <c r="L89" s="61"/>
      <c r="M89" s="61"/>
      <c r="N89" s="60"/>
      <c r="O89" s="60"/>
      <c r="P89" s="60"/>
      <c r="Q89" s="62"/>
      <c r="R89" s="62"/>
      <c r="S89" s="63"/>
      <c r="T89" s="250"/>
      <c r="U89" s="63"/>
      <c r="V89" s="63"/>
      <c r="W89" s="63"/>
      <c r="X89" s="242"/>
      <c r="Y89" s="63"/>
      <c r="Z89" s="63"/>
      <c r="AA89" s="176"/>
      <c r="AB89" s="11"/>
      <c r="AC89" s="245"/>
      <c r="AD89" s="245"/>
      <c r="AE89" s="245"/>
      <c r="AF89" s="245"/>
      <c r="AG89" s="173"/>
      <c r="AH89" s="51"/>
      <c r="AI89" s="63"/>
      <c r="AJ89" s="246"/>
      <c r="AK89" s="181"/>
      <c r="AL89" s="181"/>
      <c r="AM89" s="181"/>
      <c r="AN89" s="181"/>
      <c r="AO89" s="181"/>
      <c r="AP89" s="181"/>
      <c r="AQ89" s="181"/>
      <c r="AR89" s="181"/>
      <c r="AS89" s="181"/>
      <c r="AT89" s="181"/>
      <c r="AU89" s="181"/>
      <c r="AV89" s="63"/>
      <c r="AW89" s="181"/>
      <c r="AX89" s="247"/>
      <c r="AY89" s="181"/>
      <c r="AZ89" s="247"/>
      <c r="BA89" s="181"/>
      <c r="BB89" s="247"/>
      <c r="BC89" s="247"/>
      <c r="BD89" s="181"/>
      <c r="BE89" s="247"/>
      <c r="BF89" s="181"/>
      <c r="BG89" s="247"/>
      <c r="BH89" s="181"/>
      <c r="BI89" s="247"/>
      <c r="BJ89" s="181"/>
      <c r="BK89" s="247"/>
      <c r="BL89" s="181"/>
      <c r="BM89" s="247"/>
      <c r="BN89" s="181"/>
      <c r="BO89" s="247"/>
      <c r="BP89" s="181"/>
      <c r="BQ89" s="181"/>
      <c r="BR89" s="181"/>
      <c r="BS89" s="181"/>
      <c r="BT89" s="248"/>
      <c r="BU89" s="248"/>
      <c r="BV89" s="248"/>
      <c r="BW89" s="248"/>
      <c r="BX89" s="248"/>
      <c r="BY89" s="248"/>
      <c r="BZ89" s="248"/>
      <c r="CA89" s="248"/>
      <c r="CB89" s="248"/>
      <c r="CC89" s="248"/>
      <c r="CD89" s="173"/>
      <c r="CE89" s="44"/>
    </row>
    <row r="90" spans="1:83" ht="6" customHeight="1" x14ac:dyDescent="0.2">
      <c r="A90" s="10" t="s">
        <v>60</v>
      </c>
      <c r="B90" s="65"/>
      <c r="C90" s="38"/>
      <c r="D90" s="63"/>
      <c r="E90" s="63"/>
      <c r="F90" s="60"/>
      <c r="G90" s="63"/>
      <c r="H90" s="63"/>
      <c r="I90" s="63"/>
      <c r="J90" s="63"/>
      <c r="K90" s="61"/>
      <c r="L90" s="61"/>
      <c r="M90" s="61"/>
      <c r="N90" s="60"/>
      <c r="O90" s="60"/>
      <c r="P90" s="60"/>
      <c r="Q90" s="62"/>
      <c r="R90" s="62"/>
      <c r="S90" s="63"/>
      <c r="T90" s="250"/>
      <c r="U90" s="63"/>
      <c r="V90" s="63"/>
      <c r="W90" s="63"/>
      <c r="X90" s="242"/>
      <c r="Y90" s="63"/>
      <c r="Z90" s="63"/>
      <c r="AA90" s="176"/>
      <c r="AB90" s="11"/>
      <c r="AC90" s="245"/>
      <c r="AD90" s="245"/>
      <c r="AE90" s="245"/>
      <c r="AF90" s="245"/>
      <c r="AG90" s="173"/>
      <c r="AH90" s="51"/>
      <c r="AI90" s="63"/>
      <c r="AJ90" s="246"/>
      <c r="AK90" s="181"/>
      <c r="AL90" s="181"/>
      <c r="AM90" s="181"/>
      <c r="AN90" s="181"/>
      <c r="AO90" s="181"/>
      <c r="AP90" s="181"/>
      <c r="AQ90" s="181"/>
      <c r="AR90" s="181"/>
      <c r="AS90" s="181"/>
      <c r="AT90" s="181"/>
      <c r="AU90" s="181"/>
      <c r="AV90" s="63"/>
      <c r="AW90" s="181"/>
      <c r="AX90" s="247"/>
      <c r="AY90" s="181"/>
      <c r="AZ90" s="247"/>
      <c r="BA90" s="181"/>
      <c r="BB90" s="247"/>
      <c r="BC90" s="247"/>
      <c r="BD90" s="181"/>
      <c r="BE90" s="247"/>
      <c r="BF90" s="181"/>
      <c r="BG90" s="247"/>
      <c r="BH90" s="181"/>
      <c r="BI90" s="247"/>
      <c r="BJ90" s="181"/>
      <c r="BK90" s="247"/>
      <c r="BL90" s="181"/>
      <c r="BM90" s="247"/>
      <c r="BN90" s="181"/>
      <c r="BO90" s="247"/>
      <c r="BP90" s="181"/>
      <c r="BQ90" s="181"/>
      <c r="BR90" s="181"/>
      <c r="BS90" s="181"/>
      <c r="BT90" s="248"/>
      <c r="BU90" s="248"/>
      <c r="BV90" s="248"/>
      <c r="BW90" s="248"/>
      <c r="BX90" s="248"/>
      <c r="BY90" s="248"/>
      <c r="BZ90" s="248"/>
      <c r="CA90" s="248"/>
      <c r="CB90" s="248"/>
      <c r="CC90" s="248"/>
      <c r="CD90" s="173"/>
      <c r="CE90" s="44"/>
    </row>
    <row r="91" spans="1:83" x14ac:dyDescent="0.2">
      <c r="A91" s="10" t="s">
        <v>60</v>
      </c>
      <c r="B91" s="251"/>
      <c r="C91" s="252"/>
      <c r="D91" s="253"/>
      <c r="E91" s="253"/>
      <c r="F91" s="253"/>
      <c r="G91" s="253"/>
      <c r="H91" s="253"/>
      <c r="I91" s="254"/>
      <c r="J91" s="70"/>
      <c r="K91" s="42"/>
      <c r="L91" s="42"/>
      <c r="M91" s="42"/>
      <c r="N91" s="42"/>
      <c r="O91" s="42"/>
      <c r="P91" s="42"/>
      <c r="Q91" s="42"/>
      <c r="R91" s="42"/>
      <c r="S91" s="253"/>
      <c r="T91" s="255"/>
      <c r="U91" s="70"/>
      <c r="V91" s="70"/>
      <c r="W91" s="70"/>
      <c r="X91" s="256"/>
      <c r="Y91" s="70"/>
      <c r="Z91" s="70"/>
      <c r="AA91" s="178"/>
      <c r="AB91" s="178"/>
      <c r="AC91" s="257"/>
      <c r="AD91" s="257"/>
      <c r="AE91" s="257"/>
      <c r="AF91" s="257"/>
      <c r="AG91" s="257"/>
      <c r="AH91" s="5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181"/>
      <c r="AX91" s="258"/>
      <c r="AY91" s="181"/>
      <c r="AZ91" s="258"/>
      <c r="BA91" s="181"/>
      <c r="BB91" s="258"/>
      <c r="BC91" s="258"/>
      <c r="BD91" s="181"/>
      <c r="BE91" s="258"/>
      <c r="BF91" s="181"/>
      <c r="BG91" s="258"/>
      <c r="BH91" s="181"/>
      <c r="BI91" s="258"/>
      <c r="BJ91" s="181"/>
      <c r="BK91" s="258"/>
      <c r="BL91" s="181"/>
      <c r="BM91" s="258"/>
      <c r="BN91" s="181"/>
      <c r="BO91" s="258"/>
      <c r="BP91" s="181"/>
      <c r="BQ91" s="181"/>
      <c r="BR91" s="181"/>
      <c r="BS91" s="181"/>
      <c r="BT91" s="248"/>
      <c r="BU91" s="248"/>
      <c r="BV91" s="248"/>
      <c r="BW91" s="248"/>
      <c r="BX91" s="248"/>
      <c r="BY91" s="248"/>
      <c r="BZ91" s="248"/>
      <c r="CA91" s="248"/>
      <c r="CB91" s="248"/>
      <c r="CC91" s="248"/>
    </row>
    <row r="92" spans="1:83" ht="19.8" x14ac:dyDescent="0.2">
      <c r="A92" s="10" t="s">
        <v>60</v>
      </c>
      <c r="B92" s="316"/>
      <c r="C92" s="149"/>
      <c r="D92" s="149"/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149"/>
      <c r="W92" s="149"/>
      <c r="X92" s="149"/>
      <c r="Y92" s="149"/>
      <c r="Z92" s="149"/>
      <c r="AA92" s="149"/>
      <c r="AB92" s="149"/>
      <c r="AC92" s="149"/>
      <c r="AD92" s="330" t="s">
        <v>65</v>
      </c>
      <c r="AE92" s="330"/>
      <c r="AF92" s="331"/>
      <c r="AG92" s="317"/>
      <c r="AH92" s="318" t="e">
        <f>IF(SUM(AH8:AH91)=0,"ISENTO",SUM(AH8:AH91))</f>
        <v>#REF!</v>
      </c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</row>
    <row r="93" spans="1:83" x14ac:dyDescent="0.2">
      <c r="AX93" s="181"/>
      <c r="AY93" s="181"/>
      <c r="AZ93" s="181"/>
      <c r="BA93" s="181"/>
      <c r="BB93" s="181"/>
      <c r="BC93" s="181"/>
      <c r="BD93" s="181"/>
      <c r="BE93" s="181"/>
      <c r="BF93" s="181"/>
      <c r="BG93" s="181"/>
      <c r="BK93" s="189"/>
      <c r="BL93" s="189"/>
      <c r="BM93" s="189"/>
      <c r="BN93" s="189"/>
      <c r="BO93" s="189"/>
      <c r="BP93" s="189"/>
      <c r="BQ93" s="189"/>
      <c r="BR93" s="259"/>
      <c r="BS93" s="189"/>
      <c r="BT93" s="189"/>
      <c r="BU93" s="189"/>
      <c r="BV93" s="189"/>
      <c r="BW93" s="189"/>
      <c r="BX93" s="189"/>
      <c r="BY93" s="189"/>
      <c r="BZ93" s="189"/>
      <c r="CA93" s="189"/>
      <c r="CB93" s="189"/>
      <c r="CC93" s="189"/>
      <c r="CD93" s="189"/>
    </row>
    <row r="94" spans="1:83" x14ac:dyDescent="0.2">
      <c r="D94" s="335" t="e">
        <f>SUM(D8:D88)</f>
        <v>#REF!</v>
      </c>
      <c r="AX94" s="181"/>
      <c r="AY94" s="181"/>
      <c r="AZ94" s="181"/>
      <c r="BA94" s="181"/>
      <c r="BB94" s="181"/>
      <c r="BC94" s="181"/>
      <c r="BD94" s="181"/>
      <c r="BE94" s="181"/>
      <c r="BF94" s="181"/>
      <c r="BG94" s="181"/>
      <c r="BK94" s="189"/>
      <c r="BL94" s="189"/>
      <c r="BM94" s="189"/>
      <c r="BN94" s="189"/>
      <c r="BO94" s="189"/>
      <c r="BP94" s="189"/>
      <c r="BQ94" s="189"/>
      <c r="BR94" s="259"/>
      <c r="BS94" s="189"/>
      <c r="BT94" s="189"/>
      <c r="BU94" s="189"/>
      <c r="BV94" s="189"/>
      <c r="BW94" s="189"/>
      <c r="BX94" s="189"/>
      <c r="BY94" s="189"/>
      <c r="BZ94" s="189"/>
      <c r="CA94" s="189"/>
      <c r="CB94" s="189"/>
      <c r="CC94" s="189"/>
      <c r="CD94" s="189"/>
    </row>
    <row r="95" spans="1:83" x14ac:dyDescent="0.2">
      <c r="AX95" s="181"/>
      <c r="AY95" s="181"/>
      <c r="AZ95" s="181"/>
      <c r="BA95" s="181"/>
      <c r="BB95" s="181"/>
      <c r="BC95" s="181"/>
      <c r="BD95" s="181"/>
      <c r="BE95" s="181"/>
      <c r="BF95" s="181"/>
      <c r="BG95" s="181"/>
      <c r="BK95" s="189"/>
      <c r="BL95" s="189"/>
      <c r="BM95" s="189"/>
      <c r="BN95" s="189"/>
      <c r="BO95" s="189"/>
      <c r="BP95" s="189"/>
      <c r="BQ95" s="189"/>
      <c r="BR95" s="259"/>
      <c r="BS95" s="189"/>
      <c r="BT95" s="189"/>
      <c r="BU95" s="189"/>
      <c r="BV95" s="189"/>
      <c r="BW95" s="189"/>
      <c r="BX95" s="189"/>
      <c r="BY95" s="189"/>
      <c r="BZ95" s="189"/>
      <c r="CA95" s="189"/>
      <c r="CB95" s="189"/>
      <c r="CC95" s="189"/>
      <c r="CD95" s="189"/>
    </row>
    <row r="96" spans="1:83" x14ac:dyDescent="0.2">
      <c r="AX96" s="181"/>
      <c r="AY96" s="181"/>
      <c r="AZ96" s="181"/>
      <c r="BA96" s="181"/>
      <c r="BB96" s="181"/>
      <c r="BC96" s="181"/>
      <c r="BD96" s="181"/>
      <c r="BE96" s="181"/>
      <c r="BF96" s="181"/>
      <c r="BG96" s="181"/>
      <c r="BK96" s="189"/>
      <c r="BL96" s="189"/>
      <c r="BM96" s="189"/>
      <c r="BN96" s="189"/>
      <c r="BO96" s="189"/>
      <c r="BP96" s="189"/>
      <c r="BQ96" s="189"/>
      <c r="BR96" s="259"/>
      <c r="BS96" s="189"/>
      <c r="BT96" s="189"/>
      <c r="BU96" s="189"/>
      <c r="BV96" s="189"/>
      <c r="BW96" s="189"/>
      <c r="BX96" s="189"/>
      <c r="BY96" s="189"/>
      <c r="BZ96" s="189"/>
      <c r="CA96" s="189"/>
      <c r="CB96" s="189"/>
      <c r="CC96" s="189"/>
      <c r="CD96" s="189"/>
    </row>
    <row r="97" spans="50:85" x14ac:dyDescent="0.2">
      <c r="AX97" s="181"/>
      <c r="AY97" s="181"/>
      <c r="AZ97" s="181"/>
      <c r="BA97" s="181"/>
      <c r="BB97" s="181"/>
      <c r="BC97" s="181"/>
      <c r="BD97" s="181"/>
      <c r="BE97" s="181"/>
      <c r="BF97" s="181"/>
      <c r="BG97" s="181"/>
      <c r="BK97" s="189"/>
      <c r="BL97" s="189"/>
      <c r="BM97" s="260"/>
      <c r="BN97" s="189"/>
      <c r="BO97" s="189"/>
      <c r="BP97" s="189"/>
      <c r="BQ97" s="189"/>
      <c r="BR97" s="259"/>
      <c r="BS97" s="189"/>
      <c r="BT97" s="189"/>
      <c r="BU97" s="189"/>
      <c r="BV97" s="189"/>
      <c r="BW97" s="189"/>
      <c r="BX97" s="189"/>
      <c r="BY97" s="189"/>
      <c r="BZ97" s="189"/>
      <c r="CA97" s="189"/>
      <c r="CB97" s="189"/>
      <c r="CC97" s="189"/>
      <c r="CD97" s="189"/>
    </row>
    <row r="98" spans="50:85" x14ac:dyDescent="0.2">
      <c r="AX98" s="181"/>
      <c r="AY98" s="181"/>
      <c r="AZ98" s="181"/>
      <c r="BA98" s="181"/>
      <c r="BB98" s="181"/>
      <c r="BC98" s="181"/>
      <c r="BD98" s="181"/>
      <c r="BE98" s="181"/>
      <c r="BF98" s="181"/>
      <c r="BG98" s="181"/>
      <c r="BK98" s="189"/>
      <c r="BL98" s="189"/>
      <c r="BM98" s="189"/>
      <c r="BN98" s="189"/>
      <c r="BO98" s="189"/>
      <c r="BP98" s="189"/>
      <c r="BQ98" s="189"/>
      <c r="BR98" s="189"/>
      <c r="BS98" s="189"/>
      <c r="BT98" s="189"/>
      <c r="BU98" s="189"/>
      <c r="BV98" s="189"/>
      <c r="BW98" s="189"/>
      <c r="BX98" s="189"/>
      <c r="BY98" s="189"/>
      <c r="BZ98" s="189"/>
      <c r="CA98" s="189"/>
      <c r="CB98" s="189"/>
      <c r="CC98" s="189"/>
      <c r="CD98" s="189"/>
    </row>
    <row r="99" spans="50:85" x14ac:dyDescent="0.2">
      <c r="AX99" s="261"/>
      <c r="AY99" s="261"/>
      <c r="AZ99" s="261"/>
      <c r="BA99" s="261"/>
      <c r="BB99" s="261"/>
      <c r="BC99" s="261"/>
      <c r="BD99" s="261"/>
      <c r="BE99" s="261"/>
      <c r="BF99" s="261"/>
      <c r="BG99" s="261"/>
      <c r="BK99" s="189"/>
      <c r="BL99" s="189"/>
      <c r="BM99" s="189"/>
      <c r="BN99" s="189"/>
      <c r="BO99" s="189"/>
      <c r="BP99" s="189"/>
      <c r="BQ99" s="189"/>
      <c r="BR99" s="189"/>
      <c r="BS99" s="189"/>
      <c r="BT99" s="189"/>
      <c r="BU99" s="189"/>
      <c r="BV99" s="189"/>
      <c r="BW99" s="189"/>
      <c r="BX99" s="189"/>
      <c r="BY99" s="189"/>
      <c r="BZ99" s="189"/>
      <c r="CA99" s="189"/>
      <c r="CB99" s="189"/>
      <c r="CC99" s="189"/>
      <c r="CD99" s="189"/>
    </row>
    <row r="100" spans="50:85" x14ac:dyDescent="0.2">
      <c r="AX100" s="261"/>
      <c r="AY100" s="261"/>
      <c r="AZ100" s="261"/>
      <c r="BA100" s="261"/>
      <c r="BB100" s="261"/>
      <c r="BC100" s="261"/>
      <c r="BD100" s="261"/>
      <c r="BE100" s="261"/>
      <c r="BF100" s="261"/>
      <c r="BG100" s="261"/>
      <c r="BK100" s="189"/>
      <c r="BL100" s="189"/>
      <c r="BM100" s="189"/>
      <c r="BN100" s="189"/>
      <c r="BO100" s="189"/>
      <c r="BP100" s="189"/>
      <c r="BQ100" s="189"/>
      <c r="BR100" s="189"/>
      <c r="BS100" s="189"/>
      <c r="BT100" s="189"/>
      <c r="BU100" s="189"/>
      <c r="BV100" s="189"/>
      <c r="BW100" s="189"/>
      <c r="BX100" s="189"/>
      <c r="BY100" s="189"/>
      <c r="BZ100" s="189"/>
      <c r="CA100" s="189"/>
      <c r="CB100" s="189"/>
      <c r="CC100" s="189"/>
      <c r="CD100" s="189"/>
    </row>
    <row r="101" spans="50:85" x14ac:dyDescent="0.2">
      <c r="AX101" s="261"/>
      <c r="AY101" s="261"/>
      <c r="AZ101" s="261"/>
      <c r="BA101" s="261"/>
      <c r="BB101" s="261"/>
      <c r="BC101" s="261"/>
      <c r="BD101" s="261"/>
      <c r="BE101" s="261"/>
      <c r="BF101" s="261"/>
      <c r="BG101" s="261"/>
      <c r="BK101" s="189"/>
      <c r="BL101" s="189"/>
      <c r="BM101" s="189"/>
      <c r="BN101" s="189"/>
      <c r="BO101" s="189"/>
      <c r="BP101" s="189"/>
      <c r="BQ101" s="189"/>
      <c r="BR101" s="189"/>
      <c r="BS101" s="189"/>
      <c r="BT101" s="189"/>
      <c r="BU101" s="189"/>
      <c r="BV101" s="189"/>
      <c r="BW101" s="189"/>
      <c r="BX101" s="189"/>
      <c r="BY101" s="189"/>
      <c r="BZ101" s="189"/>
      <c r="CA101" s="189"/>
      <c r="CB101" s="189"/>
      <c r="CC101" s="189"/>
      <c r="CD101" s="189"/>
    </row>
    <row r="102" spans="50:85" x14ac:dyDescent="0.2">
      <c r="AX102" s="261"/>
      <c r="AY102" s="261"/>
      <c r="AZ102" s="261"/>
      <c r="BA102" s="261"/>
      <c r="BB102" s="261"/>
      <c r="BC102" s="261"/>
      <c r="BD102" s="261"/>
      <c r="BE102" s="261"/>
      <c r="BF102" s="261"/>
      <c r="BG102" s="261"/>
      <c r="BK102" s="189"/>
      <c r="BL102" s="189"/>
      <c r="BM102" s="189"/>
      <c r="BN102" s="189"/>
      <c r="BO102" s="189"/>
      <c r="BP102" s="189"/>
      <c r="BQ102" s="189"/>
      <c r="BR102" s="189"/>
      <c r="BS102" s="189"/>
      <c r="BT102" s="189"/>
      <c r="BU102" s="189"/>
      <c r="BV102" s="189"/>
      <c r="BW102" s="189"/>
      <c r="BX102" s="189"/>
      <c r="BY102" s="189"/>
      <c r="BZ102" s="189"/>
      <c r="CA102" s="189"/>
      <c r="CB102" s="189"/>
      <c r="CC102" s="189"/>
      <c r="CD102" s="189"/>
      <c r="CE102" s="189"/>
      <c r="CF102" s="189"/>
      <c r="CG102" s="189"/>
    </row>
    <row r="103" spans="50:85" x14ac:dyDescent="0.2">
      <c r="AX103" s="261"/>
      <c r="AY103" s="261"/>
      <c r="AZ103" s="261"/>
      <c r="BA103" s="261"/>
      <c r="BB103" s="261"/>
      <c r="BC103" s="261"/>
      <c r="BD103" s="261"/>
      <c r="BE103" s="261"/>
      <c r="BF103" s="261"/>
      <c r="BG103" s="261"/>
      <c r="BK103" s="189"/>
      <c r="BL103" s="189"/>
      <c r="BM103" s="189"/>
      <c r="BN103" s="189"/>
      <c r="BO103" s="189"/>
      <c r="BP103" s="189"/>
      <c r="BQ103" s="189"/>
      <c r="BR103" s="189"/>
      <c r="BS103" s="189"/>
      <c r="BT103" s="189"/>
      <c r="BU103" s="189"/>
      <c r="BV103" s="189"/>
      <c r="BW103" s="189"/>
      <c r="BX103" s="189"/>
      <c r="BY103" s="189"/>
      <c r="BZ103" s="189"/>
      <c r="CA103" s="189"/>
      <c r="CB103" s="189"/>
      <c r="CC103" s="189"/>
      <c r="CD103" s="189"/>
      <c r="CE103" s="189"/>
      <c r="CF103" s="189"/>
      <c r="CG103" s="189"/>
    </row>
    <row r="104" spans="50:85" x14ac:dyDescent="0.2">
      <c r="AX104" s="261"/>
      <c r="AY104" s="261"/>
      <c r="AZ104" s="261"/>
      <c r="BA104" s="261"/>
      <c r="BB104" s="261"/>
      <c r="BC104" s="261"/>
      <c r="BD104" s="261"/>
      <c r="BE104" s="261"/>
      <c r="BF104" s="261"/>
      <c r="BG104" s="261"/>
      <c r="BK104" s="189"/>
      <c r="BL104" s="189"/>
      <c r="BM104" s="189"/>
      <c r="BN104" s="189"/>
      <c r="BO104" s="189"/>
      <c r="BP104" s="189"/>
      <c r="BQ104" s="189"/>
      <c r="BR104" s="189"/>
      <c r="BS104" s="189"/>
      <c r="BT104" s="189"/>
      <c r="BU104" s="189"/>
      <c r="BV104" s="189"/>
      <c r="BW104" s="189"/>
      <c r="BX104" s="189"/>
      <c r="BY104" s="189"/>
      <c r="BZ104" s="189"/>
      <c r="CA104" s="189"/>
      <c r="CB104" s="189"/>
      <c r="CC104" s="189"/>
      <c r="CD104" s="189"/>
      <c r="CE104" s="189"/>
      <c r="CF104" s="189"/>
      <c r="CG104" s="189"/>
    </row>
    <row r="105" spans="50:85" x14ac:dyDescent="0.2">
      <c r="AX105" s="261"/>
      <c r="AY105" s="261"/>
      <c r="AZ105" s="261"/>
      <c r="BA105" s="261"/>
      <c r="BB105" s="261"/>
      <c r="BC105" s="261"/>
      <c r="BD105" s="261"/>
      <c r="BE105" s="261"/>
      <c r="BF105" s="261"/>
      <c r="BG105" s="261"/>
      <c r="BK105" s="189"/>
      <c r="BL105" s="189"/>
      <c r="BM105" s="189"/>
      <c r="BN105" s="189"/>
      <c r="BO105" s="189"/>
      <c r="BP105" s="189"/>
      <c r="BQ105" s="189"/>
      <c r="BR105" s="189"/>
      <c r="BS105" s="189"/>
      <c r="BT105" s="189"/>
      <c r="BU105" s="189"/>
      <c r="BV105" s="189"/>
      <c r="BW105" s="189"/>
      <c r="BX105" s="189"/>
      <c r="BY105" s="189"/>
      <c r="BZ105" s="189"/>
      <c r="CA105" s="189"/>
      <c r="CB105" s="189"/>
      <c r="CC105" s="189"/>
      <c r="CD105" s="189"/>
      <c r="CE105" s="189"/>
      <c r="CF105" s="189"/>
      <c r="CG105" s="189"/>
    </row>
  </sheetData>
  <autoFilter ref="A1:A92" xr:uid="{00000000-0009-0000-0000-000008000000}"/>
  <mergeCells count="3">
    <mergeCell ref="B1:AH1"/>
    <mergeCell ref="D6:Q6"/>
    <mergeCell ref="T6:U6"/>
  </mergeCells>
  <phoneticPr fontId="2" type="noConversion"/>
  <conditionalFormatting sqref="B78 B70">
    <cfRule type="cellIs" dxfId="6" priority="1" stopIfTrue="1" operator="greaterThan">
      <formula>$B$2&gt;1</formula>
    </cfRule>
  </conditionalFormatting>
  <conditionalFormatting sqref="AI8:AJ67 AV8:AW67 AK7:AU67 AX7:BH67 AI68:BH92">
    <cfRule type="cellIs" dxfId="5" priority="2" stopIfTrue="1" operator="greaterThan">
      <formula>0</formula>
    </cfRule>
  </conditionalFormatting>
  <conditionalFormatting sqref="T8:T91">
    <cfRule type="cellIs" dxfId="4" priority="3" stopIfTrue="1" operator="greaterThan">
      <formula>5</formula>
    </cfRule>
    <cfRule type="cellIs" dxfId="3" priority="4" stopIfTrue="1" operator="greaterThan">
      <formula>5</formula>
    </cfRule>
  </conditionalFormatting>
  <conditionalFormatting sqref="CD7">
    <cfRule type="cellIs" dxfId="2" priority="5" stopIfTrue="1" operator="notEqual">
      <formula>""""""</formula>
    </cfRule>
  </conditionalFormatting>
  <conditionalFormatting sqref="A1:A92">
    <cfRule type="cellIs" dxfId="1" priority="6" stopIfTrue="1" operator="equal">
      <formula>"sim"</formula>
    </cfRule>
    <cfRule type="cellIs" dxfId="0" priority="7" stopIfTrue="1" operator="equal">
      <formula>"não"</formula>
    </cfRule>
  </conditionalFormatting>
  <dataValidations count="1">
    <dataValidation type="textLength" errorStyle="warning" allowBlank="1" showErrorMessage="1" errorTitle="A T E N Ç Ã O" error="Esta céllula contem fórmula que será automaticamente recalculadas, quando as demais células foram alteradas." promptTitle="ESTAS CÉLULAS CONTÉM FÓRMULAS" sqref="B8" xr:uid="{00000000-0002-0000-0800-000000000000}">
      <formula1>0</formula1>
      <formula2>0</formula2>
    </dataValidation>
  </dataValidations>
  <pageMargins left="0.98425196850393704" right="0" top="0.78740157480314965" bottom="0.98425196850393704" header="0.39370078740157483" footer="0.39370078740157483"/>
  <pageSetup scale="36" orientation="portrait" r:id="rId1"/>
  <headerFooter alignWithMargins="0">
    <oddHeader>&amp;CAutos nº 2005-2005 - 1ª Vara do Trabalho de Maringá - PR</oddHeader>
    <oddFooter>&amp;L&amp;"Signet Roundhand ATT,Itálico"&amp;16    &amp;14W Moreti - Economia do Trabalho&amp;16
    &amp;"Arial,Normal"&amp;9Cálculos Trabalhistas&amp;10
     &amp;8  Rua Mal. Deodoro 471 - Fone: (0XX-44) 3234-2104 Astorga - Pr.
         E-MAIL: &amp;10waldemar.moreti@gmail.com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10" r:id="rId4" name="Check Box 2">
              <controlPr defaultSize="0" print="0" autoFill="0" autoLine="0" autoPict="0" macro="[5]!reezibirproventos">
                <anchor moveWithCells="1">
                  <from>
                    <xdr:col>1</xdr:col>
                    <xdr:colOff>0</xdr:colOff>
                    <xdr:row>2</xdr:row>
                    <xdr:rowOff>83820</xdr:rowOff>
                  </from>
                  <to>
                    <xdr:col>2</xdr:col>
                    <xdr:colOff>220980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1" r:id="rId5" name="Button 3">
              <controlPr defaultSize="0" print="0" autoFill="0" autoPict="0" macro="[5]!reexibirfohas">
                <anchor moveWithCells="1" sizeWithCells="1">
                  <from>
                    <xdr:col>3</xdr:col>
                    <xdr:colOff>388620</xdr:colOff>
                    <xdr:row>2</xdr:row>
                    <xdr:rowOff>22860</xdr:rowOff>
                  </from>
                  <to>
                    <xdr:col>4</xdr:col>
                    <xdr:colOff>716280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2" r:id="rId6" name="Button 4">
              <controlPr defaultSize="0" print="0" autoFill="0" autoPict="0" macro="[5]!ocultar_nao">
                <anchor moveWithCells="1" sizeWithCells="1">
                  <from>
                    <xdr:col>3</xdr:col>
                    <xdr:colOff>373380</xdr:colOff>
                    <xdr:row>0</xdr:row>
                    <xdr:rowOff>0</xdr:rowOff>
                  </from>
                  <to>
                    <xdr:col>5</xdr:col>
                    <xdr:colOff>30480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I97"/>
  <sheetViews>
    <sheetView workbookViewId="0">
      <selection sqref="A1:G1"/>
    </sheetView>
  </sheetViews>
  <sheetFormatPr defaultColWidth="9.109375" defaultRowHeight="12.6" x14ac:dyDescent="0.2"/>
  <cols>
    <col min="1" max="1" width="30.6640625" style="10" customWidth="1"/>
    <col min="2" max="2" width="29.109375" style="10" customWidth="1"/>
    <col min="3" max="3" width="14.5546875" style="10" bestFit="1" customWidth="1"/>
    <col min="4" max="4" width="20.44140625" style="10" bestFit="1" customWidth="1"/>
    <col min="5" max="5" width="13.109375" style="10" bestFit="1" customWidth="1"/>
    <col min="6" max="6" width="14.5546875" style="10" bestFit="1" customWidth="1"/>
    <col min="7" max="7" width="17.109375" style="10" customWidth="1"/>
    <col min="8" max="8" width="12.44140625" style="10" customWidth="1"/>
    <col min="9" max="16384" width="9.109375" style="10"/>
  </cols>
  <sheetData>
    <row r="1" spans="1:8" ht="24.6" x14ac:dyDescent="0.4">
      <c r="A1" s="417" t="s">
        <v>136</v>
      </c>
      <c r="B1" s="418"/>
      <c r="C1" s="418"/>
      <c r="D1" s="418"/>
      <c r="E1" s="418"/>
      <c r="F1" s="418"/>
      <c r="G1" s="419"/>
      <c r="H1" s="105" t="b">
        <v>0</v>
      </c>
    </row>
    <row r="2" spans="1:8" ht="25.5" customHeight="1" x14ac:dyDescent="0.3">
      <c r="A2" s="420"/>
      <c r="B2" s="421"/>
      <c r="C2" s="421"/>
      <c r="D2" s="421"/>
      <c r="E2" s="421"/>
      <c r="F2" s="421"/>
      <c r="G2" s="422"/>
    </row>
    <row r="3" spans="1:8" ht="25.5" customHeight="1" x14ac:dyDescent="0.2">
      <c r="A3" s="397" t="s">
        <v>134</v>
      </c>
      <c r="B3" s="398"/>
      <c r="C3" s="398"/>
      <c r="D3" s="398"/>
      <c r="E3" s="398"/>
      <c r="F3" s="398"/>
      <c r="G3" s="399"/>
    </row>
    <row r="4" spans="1:8" ht="25.2" x14ac:dyDescent="0.2">
      <c r="A4" s="402" t="s">
        <v>16</v>
      </c>
      <c r="B4" s="403"/>
      <c r="C4" s="403"/>
      <c r="D4" s="403"/>
      <c r="E4" s="403"/>
      <c r="F4" s="404"/>
      <c r="G4" s="14" t="s">
        <v>84</v>
      </c>
    </row>
    <row r="5" spans="1:8" x14ac:dyDescent="0.2">
      <c r="A5" s="106" t="e">
        <f>#REF!</f>
        <v>#REF!</v>
      </c>
      <c r="B5" s="107"/>
      <c r="C5" s="107"/>
      <c r="D5" s="107"/>
      <c r="E5" s="108"/>
      <c r="F5" s="109"/>
      <c r="G5" s="110" t="e">
        <f>#REF!</f>
        <v>#REF!</v>
      </c>
    </row>
    <row r="6" spans="1:8" x14ac:dyDescent="0.2">
      <c r="A6" s="111" t="e">
        <f>#REF!</f>
        <v>#REF!</v>
      </c>
      <c r="B6" s="112"/>
      <c r="C6" s="112"/>
      <c r="D6" s="112"/>
      <c r="E6" s="96"/>
      <c r="F6" s="113"/>
      <c r="G6" s="87" t="e">
        <f>#REF!</f>
        <v>#REF!</v>
      </c>
    </row>
    <row r="7" spans="1:8" x14ac:dyDescent="0.2">
      <c r="A7" s="111" t="e">
        <f>#REF!</f>
        <v>#REF!</v>
      </c>
      <c r="B7" s="112"/>
      <c r="C7" s="112"/>
      <c r="D7" s="112"/>
      <c r="E7" s="96"/>
      <c r="F7" s="113"/>
      <c r="G7" s="87" t="e">
        <f>#REF!</f>
        <v>#REF!</v>
      </c>
    </row>
    <row r="8" spans="1:8" x14ac:dyDescent="0.2">
      <c r="A8" s="111" t="e">
        <f>#REF!</f>
        <v>#REF!</v>
      </c>
      <c r="B8" s="112"/>
      <c r="C8" s="112"/>
      <c r="D8" s="112"/>
      <c r="E8" s="96"/>
      <c r="F8" s="113"/>
      <c r="G8" s="87" t="e">
        <f>#REF!</f>
        <v>#REF!</v>
      </c>
    </row>
    <row r="9" spans="1:8" x14ac:dyDescent="0.2">
      <c r="A9" s="111" t="e">
        <f>#REF!</f>
        <v>#REF!</v>
      </c>
      <c r="B9" s="112"/>
      <c r="C9" s="112"/>
      <c r="D9" s="112"/>
      <c r="E9" s="96"/>
      <c r="F9" s="113"/>
      <c r="G9" s="87" t="e">
        <f>#REF!</f>
        <v>#REF!</v>
      </c>
    </row>
    <row r="10" spans="1:8" x14ac:dyDescent="0.2">
      <c r="A10" s="111" t="e">
        <f>#REF!</f>
        <v>#REF!</v>
      </c>
      <c r="B10" s="112"/>
      <c r="C10" s="112"/>
      <c r="D10" s="112"/>
      <c r="E10" s="96"/>
      <c r="F10" s="113"/>
      <c r="G10" s="87" t="e">
        <f>#REF!</f>
        <v>#REF!</v>
      </c>
    </row>
    <row r="11" spans="1:8" x14ac:dyDescent="0.2">
      <c r="A11" s="111" t="e">
        <f>#REF!</f>
        <v>#REF!</v>
      </c>
      <c r="B11" s="112"/>
      <c r="C11" s="112"/>
      <c r="D11" s="112"/>
      <c r="E11" s="96"/>
      <c r="F11" s="113"/>
      <c r="G11" s="87" t="e">
        <f>#REF!</f>
        <v>#REF!</v>
      </c>
    </row>
    <row r="12" spans="1:8" x14ac:dyDescent="0.2">
      <c r="A12" s="111" t="e">
        <f>#REF!</f>
        <v>#REF!</v>
      </c>
      <c r="B12" s="112"/>
      <c r="C12" s="112"/>
      <c r="D12" s="112"/>
      <c r="E12" s="96"/>
      <c r="F12" s="113"/>
      <c r="G12" s="87" t="e">
        <f>#REF!</f>
        <v>#REF!</v>
      </c>
    </row>
    <row r="13" spans="1:8" x14ac:dyDescent="0.2">
      <c r="A13" s="111" t="e">
        <f>#REF!</f>
        <v>#REF!</v>
      </c>
      <c r="B13" s="112"/>
      <c r="C13" s="112"/>
      <c r="D13" s="112"/>
      <c r="E13" s="96"/>
      <c r="F13" s="113"/>
      <c r="G13" s="87" t="e">
        <f>#REF!</f>
        <v>#REF!</v>
      </c>
    </row>
    <row r="14" spans="1:8" x14ac:dyDescent="0.2">
      <c r="A14" s="111" t="e">
        <f>#REF!</f>
        <v>#REF!</v>
      </c>
      <c r="B14" s="112"/>
      <c r="C14" s="112"/>
      <c r="D14" s="112"/>
      <c r="E14" s="96"/>
      <c r="F14" s="113"/>
      <c r="G14" s="87" t="e">
        <f>#REF!</f>
        <v>#REF!</v>
      </c>
    </row>
    <row r="15" spans="1:8" x14ac:dyDescent="0.2">
      <c r="A15" s="111" t="e">
        <f>#REF!</f>
        <v>#REF!</v>
      </c>
      <c r="B15" s="112"/>
      <c r="C15" s="112"/>
      <c r="D15" s="112"/>
      <c r="E15" s="96"/>
      <c r="F15" s="113"/>
      <c r="G15" s="87" t="e">
        <f>#REF!</f>
        <v>#REF!</v>
      </c>
    </row>
    <row r="16" spans="1:8" x14ac:dyDescent="0.2">
      <c r="A16" s="111"/>
      <c r="B16" s="112"/>
      <c r="C16" s="112"/>
      <c r="D16" s="112"/>
      <c r="E16" s="96"/>
      <c r="F16" s="113"/>
      <c r="G16" s="87" t="e">
        <f>#REF!</f>
        <v>#REF!</v>
      </c>
    </row>
    <row r="17" spans="1:9" x14ac:dyDescent="0.2">
      <c r="A17" s="111"/>
      <c r="B17" s="112"/>
      <c r="C17" s="112"/>
      <c r="D17" s="112"/>
      <c r="E17" s="96"/>
      <c r="F17" s="113"/>
      <c r="G17" s="87" t="e">
        <f>#REF!</f>
        <v>#REF!</v>
      </c>
    </row>
    <row r="18" spans="1:9" x14ac:dyDescent="0.2">
      <c r="A18" s="111"/>
      <c r="B18" s="112"/>
      <c r="C18" s="112"/>
      <c r="D18" s="112"/>
      <c r="E18" s="96"/>
      <c r="F18" s="113"/>
      <c r="G18" s="87" t="e">
        <f>#REF!</f>
        <v>#REF!</v>
      </c>
    </row>
    <row r="19" spans="1:9" x14ac:dyDescent="0.2">
      <c r="A19" s="111"/>
      <c r="B19" s="112"/>
      <c r="C19" s="112"/>
      <c r="D19" s="112"/>
      <c r="E19" s="96"/>
      <c r="F19" s="113"/>
      <c r="G19" s="87" t="e">
        <f>#REF!</f>
        <v>#REF!</v>
      </c>
    </row>
    <row r="20" spans="1:9" x14ac:dyDescent="0.2">
      <c r="A20" s="111"/>
      <c r="B20" s="112"/>
      <c r="C20" s="112"/>
      <c r="D20" s="112"/>
      <c r="E20" s="96"/>
      <c r="F20" s="113"/>
      <c r="G20" s="87" t="e">
        <f>#REF!</f>
        <v>#REF!</v>
      </c>
    </row>
    <row r="21" spans="1:9" x14ac:dyDescent="0.2">
      <c r="A21" s="111" t="e">
        <f>#REF!</f>
        <v>#REF!</v>
      </c>
      <c r="B21" s="114"/>
      <c r="C21" s="114"/>
      <c r="D21" s="115"/>
      <c r="E21" s="96"/>
      <c r="F21" s="113"/>
      <c r="G21" s="87" t="e">
        <f>#REF!</f>
        <v>#REF!</v>
      </c>
    </row>
    <row r="22" spans="1:9" x14ac:dyDescent="0.2">
      <c r="A22" s="111" t="e">
        <f>#REF!</f>
        <v>#REF!</v>
      </c>
      <c r="B22" s="114"/>
      <c r="C22" s="114"/>
      <c r="D22" s="115"/>
      <c r="E22" s="96"/>
      <c r="F22" s="113"/>
      <c r="G22" s="87" t="e">
        <f>#REF!</f>
        <v>#REF!</v>
      </c>
    </row>
    <row r="23" spans="1:9" x14ac:dyDescent="0.2">
      <c r="A23" s="111" t="e">
        <f>#REF!</f>
        <v>#REF!</v>
      </c>
      <c r="B23" s="114"/>
      <c r="C23" s="114"/>
      <c r="D23" s="114"/>
      <c r="E23" s="96"/>
      <c r="F23" s="113"/>
      <c r="G23" s="87" t="e">
        <f>#REF!</f>
        <v>#REF!</v>
      </c>
    </row>
    <row r="24" spans="1:9" ht="12.75" customHeight="1" x14ac:dyDescent="0.2">
      <c r="A24" s="400" t="s">
        <v>137</v>
      </c>
      <c r="B24" s="401"/>
      <c r="C24" s="401"/>
      <c r="D24" s="401"/>
      <c r="E24" s="401"/>
      <c r="F24" s="414"/>
      <c r="G24" s="116" t="e">
        <f>SUM(G5:G23)</f>
        <v>#REF!</v>
      </c>
    </row>
    <row r="25" spans="1:9" ht="12.75" customHeight="1" x14ac:dyDescent="0.2">
      <c r="A25" s="117" t="s">
        <v>85</v>
      </c>
      <c r="C25" s="118"/>
      <c r="D25" s="118"/>
      <c r="G25" s="119" t="e">
        <f>-C92</f>
        <v>#REF!</v>
      </c>
      <c r="I25" s="120"/>
    </row>
    <row r="26" spans="1:9" ht="12.75" customHeight="1" x14ac:dyDescent="0.2">
      <c r="A26" s="117" t="s">
        <v>86</v>
      </c>
      <c r="C26" s="118"/>
      <c r="D26" s="118"/>
      <c r="G26" s="121" t="e">
        <f>-$C$91</f>
        <v>#REF!</v>
      </c>
      <c r="I26" s="120"/>
    </row>
    <row r="27" spans="1:9" ht="12.75" customHeight="1" x14ac:dyDescent="0.2">
      <c r="A27" s="117" t="s">
        <v>83</v>
      </c>
      <c r="C27" s="118"/>
      <c r="D27" s="118"/>
      <c r="E27" s="123"/>
      <c r="F27" s="123"/>
      <c r="G27" s="124" t="e">
        <f>SUM(G24:G26)</f>
        <v>#REF!</v>
      </c>
    </row>
    <row r="28" spans="1:9" ht="12.75" customHeight="1" x14ac:dyDescent="0.2">
      <c r="A28" s="117" t="s">
        <v>24</v>
      </c>
      <c r="C28" s="354"/>
      <c r="D28" s="354"/>
      <c r="E28" s="354"/>
      <c r="F28" s="123"/>
      <c r="G28" s="124"/>
    </row>
    <row r="29" spans="1:9" ht="12.75" customHeight="1" x14ac:dyDescent="0.2">
      <c r="A29" s="117" t="s">
        <v>4</v>
      </c>
      <c r="F29" s="125"/>
      <c r="G29" s="124" t="e">
        <f>G27+G28</f>
        <v>#REF!</v>
      </c>
    </row>
    <row r="30" spans="1:9" ht="12.75" customHeight="1" x14ac:dyDescent="0.2">
      <c r="A30" s="117" t="s">
        <v>87</v>
      </c>
      <c r="F30" s="125"/>
      <c r="G30" s="126" t="e">
        <f>IF(G29&gt;A83,IF(G29&lt;&gt;"",VLOOKUP($G$29,$A$83:$C$87,2),""),"")</f>
        <v>#REF!</v>
      </c>
    </row>
    <row r="31" spans="1:9" ht="12.75" customHeight="1" x14ac:dyDescent="0.2">
      <c r="A31" s="117" t="s">
        <v>88</v>
      </c>
      <c r="D31" s="45"/>
      <c r="F31" s="125"/>
      <c r="G31" s="124" t="e">
        <f>IF(G30&lt;&gt;"",ROUND(G29*G30,2),"")</f>
        <v>#REF!</v>
      </c>
    </row>
    <row r="32" spans="1:9" ht="12.75" customHeight="1" x14ac:dyDescent="0.2">
      <c r="A32" s="117" t="s">
        <v>89</v>
      </c>
      <c r="E32" s="127"/>
      <c r="F32" s="125"/>
      <c r="G32" s="128" t="e">
        <f>IF(G30&lt;&gt;"",VLOOKUP($G$29,$A$83:$C$87,3),"")</f>
        <v>#REF!</v>
      </c>
    </row>
    <row r="33" spans="1:7" ht="16.2" x14ac:dyDescent="0.2">
      <c r="A33" s="415" t="s">
        <v>90</v>
      </c>
      <c r="B33" s="416"/>
      <c r="C33" s="129"/>
      <c r="D33" s="129"/>
      <c r="E33" s="423"/>
      <c r="F33" s="424"/>
      <c r="G33" s="130" t="e">
        <f>IF(G30&lt;&gt;"",(G31-G32),"ISENTO")</f>
        <v>#REF!</v>
      </c>
    </row>
    <row r="34" spans="1:7" ht="6" customHeight="1" x14ac:dyDescent="0.2">
      <c r="A34" s="131"/>
      <c r="B34" s="132"/>
      <c r="G34" s="47"/>
    </row>
    <row r="35" spans="1:7" ht="17.399999999999999" x14ac:dyDescent="0.2">
      <c r="A35" s="397" t="s">
        <v>10</v>
      </c>
      <c r="B35" s="398"/>
      <c r="C35" s="398"/>
      <c r="D35" s="398"/>
      <c r="E35" s="398"/>
      <c r="F35" s="398"/>
      <c r="G35" s="399"/>
    </row>
    <row r="36" spans="1:7" ht="25.2" x14ac:dyDescent="0.2">
      <c r="A36" s="402" t="s">
        <v>16</v>
      </c>
      <c r="B36" s="403"/>
      <c r="C36" s="403"/>
      <c r="D36" s="403"/>
      <c r="E36" s="403"/>
      <c r="F36" s="404"/>
      <c r="G36" s="14" t="s">
        <v>84</v>
      </c>
    </row>
    <row r="37" spans="1:7" ht="12.75" customHeight="1" x14ac:dyDescent="0.2">
      <c r="A37" s="145" t="e">
        <f>#REF!</f>
        <v>#REF!</v>
      </c>
      <c r="E37" s="96"/>
      <c r="F37" s="113"/>
      <c r="G37" s="87" t="e">
        <f>#REF!</f>
        <v>#REF!</v>
      </c>
    </row>
    <row r="38" spans="1:7" ht="12.75" customHeight="1" x14ac:dyDescent="0.2">
      <c r="A38" s="145" t="e">
        <f>#REF!</f>
        <v>#REF!</v>
      </c>
      <c r="E38" s="96"/>
      <c r="F38" s="113"/>
      <c r="G38" s="87" t="e">
        <f>#REF!</f>
        <v>#REF!</v>
      </c>
    </row>
    <row r="39" spans="1:7" ht="12.75" customHeight="1" x14ac:dyDescent="0.2">
      <c r="A39" s="145" t="e">
        <f>#REF!</f>
        <v>#REF!</v>
      </c>
      <c r="E39" s="96"/>
      <c r="F39" s="113"/>
      <c r="G39" s="87" t="e">
        <f>#REF!</f>
        <v>#REF!</v>
      </c>
    </row>
    <row r="40" spans="1:7" ht="12.75" customHeight="1" x14ac:dyDescent="0.2">
      <c r="A40" s="145" t="e">
        <f>#REF!</f>
        <v>#REF!</v>
      </c>
      <c r="E40" s="96"/>
      <c r="F40" s="113"/>
      <c r="G40" s="87" t="e">
        <f>#REF!</f>
        <v>#REF!</v>
      </c>
    </row>
    <row r="41" spans="1:7" ht="12.75" customHeight="1" x14ac:dyDescent="0.2">
      <c r="A41" s="145" t="e">
        <f>#REF!</f>
        <v>#REF!</v>
      </c>
      <c r="E41" s="96"/>
      <c r="F41" s="113"/>
      <c r="G41" s="87" t="e">
        <f>#REF!</f>
        <v>#REF!</v>
      </c>
    </row>
    <row r="42" spans="1:7" ht="12.75" customHeight="1" x14ac:dyDescent="0.2">
      <c r="A42" s="145" t="e">
        <f>#REF!</f>
        <v>#REF!</v>
      </c>
      <c r="E42" s="96"/>
      <c r="F42" s="113"/>
      <c r="G42" s="87" t="e">
        <f>#REF!</f>
        <v>#REF!</v>
      </c>
    </row>
    <row r="43" spans="1:7" ht="12.75" customHeight="1" x14ac:dyDescent="0.2">
      <c r="A43" s="145" t="e">
        <f>#REF!</f>
        <v>#REF!</v>
      </c>
      <c r="E43" s="96"/>
      <c r="F43" s="113"/>
      <c r="G43" s="87" t="e">
        <f>#REF!</f>
        <v>#REF!</v>
      </c>
    </row>
    <row r="44" spans="1:7" ht="12.75" customHeight="1" x14ac:dyDescent="0.2">
      <c r="A44" s="145" t="e">
        <f>#REF!</f>
        <v>#REF!</v>
      </c>
      <c r="E44" s="96"/>
      <c r="F44" s="113"/>
      <c r="G44" s="87" t="e">
        <f>#REF!</f>
        <v>#REF!</v>
      </c>
    </row>
    <row r="45" spans="1:7" ht="12.75" customHeight="1" x14ac:dyDescent="0.2">
      <c r="A45" s="145" t="e">
        <f>#REF!</f>
        <v>#REF!</v>
      </c>
      <c r="E45" s="96"/>
      <c r="F45" s="113"/>
      <c r="G45" s="87" t="e">
        <f>#REF!</f>
        <v>#REF!</v>
      </c>
    </row>
    <row r="46" spans="1:7" ht="12.75" customHeight="1" x14ac:dyDescent="0.2">
      <c r="A46" s="145" t="e">
        <f>#REF!</f>
        <v>#REF!</v>
      </c>
      <c r="E46" s="96"/>
      <c r="F46" s="113"/>
      <c r="G46" s="87" t="e">
        <f>#REF!</f>
        <v>#REF!</v>
      </c>
    </row>
    <row r="47" spans="1:7" x14ac:dyDescent="0.2">
      <c r="A47" s="400" t="s">
        <v>137</v>
      </c>
      <c r="B47" s="401"/>
      <c r="C47" s="401"/>
      <c r="D47" s="401"/>
      <c r="E47" s="401"/>
      <c r="F47" s="146"/>
      <c r="G47" s="147" t="e">
        <f>SUM(G37:G46)</f>
        <v>#REF!</v>
      </c>
    </row>
    <row r="48" spans="1:7" x14ac:dyDescent="0.2">
      <c r="A48" s="117" t="s">
        <v>100</v>
      </c>
      <c r="B48" s="148"/>
      <c r="C48" s="149"/>
      <c r="D48" s="149"/>
      <c r="E48" s="149"/>
      <c r="F48" s="150"/>
      <c r="G48" s="265" t="e">
        <f>-C93</f>
        <v>#REF!</v>
      </c>
    </row>
    <row r="49" spans="1:8" x14ac:dyDescent="0.2">
      <c r="A49" s="117" t="s">
        <v>86</v>
      </c>
      <c r="B49" s="151"/>
      <c r="F49" s="47"/>
      <c r="G49" s="121" t="e">
        <f>-$C$91</f>
        <v>#REF!</v>
      </c>
      <c r="H49" s="10" t="e">
        <f>IF(G33&lt;&gt;"ISENTO",G33,"")</f>
        <v>#REF!</v>
      </c>
    </row>
    <row r="50" spans="1:8" x14ac:dyDescent="0.2">
      <c r="A50" s="117" t="s">
        <v>83</v>
      </c>
      <c r="B50" s="151"/>
      <c r="F50" s="47"/>
      <c r="G50" s="124" t="e">
        <f>SUM(G47:G49)</f>
        <v>#REF!</v>
      </c>
      <c r="H50" s="10" t="e">
        <f>IF(G56&lt;&gt;"ISENTO",G56,"")</f>
        <v>#REF!</v>
      </c>
    </row>
    <row r="51" spans="1:8" x14ac:dyDescent="0.2">
      <c r="A51" s="117" t="s">
        <v>24</v>
      </c>
      <c r="B51" s="151"/>
      <c r="E51" s="54"/>
      <c r="F51" s="47"/>
      <c r="G51" s="124"/>
      <c r="H51" s="10" t="e">
        <f>IF(G78&lt;&gt;"ISENTO",G78,"")</f>
        <v>#REF!</v>
      </c>
    </row>
    <row r="52" spans="1:8" x14ac:dyDescent="0.2">
      <c r="A52" s="117" t="s">
        <v>4</v>
      </c>
      <c r="B52" s="151"/>
      <c r="E52" s="54"/>
      <c r="F52" s="47"/>
      <c r="G52" s="122" t="e">
        <f>G50+G51</f>
        <v>#REF!</v>
      </c>
    </row>
    <row r="53" spans="1:8" x14ac:dyDescent="0.2">
      <c r="A53" s="117" t="s">
        <v>87</v>
      </c>
      <c r="B53" s="151"/>
      <c r="F53" s="47"/>
      <c r="G53" s="126" t="e">
        <f>IF(G52&gt;A83,IF(G52&lt;&gt;"",VLOOKUP($G$52,$A$83:$C$87,2),""),"")</f>
        <v>#REF!</v>
      </c>
    </row>
    <row r="54" spans="1:8" x14ac:dyDescent="0.2">
      <c r="A54" s="117" t="s">
        <v>88</v>
      </c>
      <c r="B54" s="151"/>
      <c r="F54" s="47"/>
      <c r="G54" s="124" t="e">
        <f>IF(G53&lt;&gt;"",ROUND(G52*G53,2),"")</f>
        <v>#REF!</v>
      </c>
    </row>
    <row r="55" spans="1:8" x14ac:dyDescent="0.2">
      <c r="A55" s="117" t="s">
        <v>89</v>
      </c>
      <c r="B55" s="152"/>
      <c r="C55" s="42"/>
      <c r="D55" s="42"/>
      <c r="E55" s="42"/>
      <c r="F55" s="43"/>
      <c r="G55" s="128" t="e">
        <f>IF(G53&lt;&gt;"",VLOOKUP($G$52,$A$83:$C$87,3),"")</f>
        <v>#REF!</v>
      </c>
      <c r="H55" s="34" t="e">
        <f>SUM(H50:H53)</f>
        <v>#REF!</v>
      </c>
    </row>
    <row r="56" spans="1:8" ht="16.2" x14ac:dyDescent="0.2">
      <c r="A56" s="393" t="s">
        <v>90</v>
      </c>
      <c r="B56" s="394"/>
      <c r="C56" s="149"/>
      <c r="D56" s="149"/>
      <c r="E56" s="395"/>
      <c r="F56" s="396"/>
      <c r="G56" s="155" t="e">
        <f>IF(G53&lt;&gt;"",(G54-G55),"ISENTO")</f>
        <v>#REF!</v>
      </c>
    </row>
    <row r="57" spans="1:8" ht="6.75" customHeight="1" x14ac:dyDescent="0.2">
      <c r="A57" s="156"/>
      <c r="B57" s="153"/>
      <c r="C57" s="149"/>
      <c r="D57" s="149"/>
      <c r="E57" s="154"/>
      <c r="F57" s="40"/>
      <c r="G57" s="157"/>
    </row>
    <row r="58" spans="1:8" ht="17.399999999999999" x14ac:dyDescent="0.2">
      <c r="A58" s="397" t="s">
        <v>135</v>
      </c>
      <c r="B58" s="398"/>
      <c r="C58" s="398"/>
      <c r="D58" s="398"/>
      <c r="E58" s="398"/>
      <c r="F58" s="398"/>
      <c r="G58" s="399"/>
    </row>
    <row r="59" spans="1:8" ht="25.2" x14ac:dyDescent="0.2">
      <c r="A59" s="402" t="s">
        <v>16</v>
      </c>
      <c r="B59" s="403"/>
      <c r="C59" s="403"/>
      <c r="D59" s="403"/>
      <c r="E59" s="403"/>
      <c r="F59" s="404"/>
      <c r="G59" s="14" t="s">
        <v>84</v>
      </c>
    </row>
    <row r="60" spans="1:8" x14ac:dyDescent="0.2">
      <c r="A60" s="145" t="e">
        <f>#REF!</f>
        <v>#REF!</v>
      </c>
      <c r="E60" s="96"/>
      <c r="F60" s="113"/>
      <c r="G60" s="87" t="e">
        <f>#REF!</f>
        <v>#REF!</v>
      </c>
    </row>
    <row r="61" spans="1:8" x14ac:dyDescent="0.2">
      <c r="A61" s="145" t="e">
        <f>#REF!</f>
        <v>#REF!</v>
      </c>
      <c r="E61" s="96"/>
      <c r="F61" s="113"/>
      <c r="G61" s="87" t="e">
        <f>#REF!</f>
        <v>#REF!</v>
      </c>
    </row>
    <row r="62" spans="1:8" x14ac:dyDescent="0.2">
      <c r="A62" s="145" t="e">
        <f>#REF!</f>
        <v>#REF!</v>
      </c>
      <c r="E62" s="96"/>
      <c r="F62" s="113"/>
      <c r="G62" s="87" t="e">
        <f>#REF!</f>
        <v>#REF!</v>
      </c>
    </row>
    <row r="63" spans="1:8" x14ac:dyDescent="0.2">
      <c r="A63" s="145" t="e">
        <f>#REF!</f>
        <v>#REF!</v>
      </c>
      <c r="E63" s="96"/>
      <c r="F63" s="113"/>
      <c r="G63" s="87" t="e">
        <f>#REF!</f>
        <v>#REF!</v>
      </c>
    </row>
    <row r="64" spans="1:8" x14ac:dyDescent="0.2">
      <c r="A64" s="145" t="e">
        <f>#REF!</f>
        <v>#REF!</v>
      </c>
      <c r="E64" s="96"/>
      <c r="F64" s="113"/>
      <c r="G64" s="87" t="e">
        <f>#REF!</f>
        <v>#REF!</v>
      </c>
    </row>
    <row r="65" spans="1:7" x14ac:dyDescent="0.2">
      <c r="A65" s="145" t="e">
        <f>#REF!</f>
        <v>#REF!</v>
      </c>
      <c r="E65" s="96"/>
      <c r="F65" s="113"/>
      <c r="G65" s="87" t="e">
        <f>#REF!</f>
        <v>#REF!</v>
      </c>
    </row>
    <row r="66" spans="1:7" x14ac:dyDescent="0.2">
      <c r="A66" s="145" t="e">
        <f>#REF!</f>
        <v>#REF!</v>
      </c>
      <c r="E66" s="96"/>
      <c r="F66" s="113"/>
      <c r="G66" s="87" t="e">
        <f>#REF!</f>
        <v>#REF!</v>
      </c>
    </row>
    <row r="67" spans="1:7" x14ac:dyDescent="0.2">
      <c r="A67" s="145" t="e">
        <f>#REF!</f>
        <v>#REF!</v>
      </c>
      <c r="E67" s="96"/>
      <c r="F67" s="113"/>
      <c r="G67" s="87" t="e">
        <f>#REF!</f>
        <v>#REF!</v>
      </c>
    </row>
    <row r="68" spans="1:7" x14ac:dyDescent="0.2">
      <c r="A68" s="145" t="e">
        <f>#REF!</f>
        <v>#REF!</v>
      </c>
      <c r="E68" s="96"/>
      <c r="F68" s="113"/>
      <c r="G68" s="87" t="e">
        <f>#REF!</f>
        <v>#REF!</v>
      </c>
    </row>
    <row r="69" spans="1:7" x14ac:dyDescent="0.2">
      <c r="A69" s="400" t="s">
        <v>137</v>
      </c>
      <c r="B69" s="401"/>
      <c r="C69" s="401"/>
      <c r="D69" s="401"/>
      <c r="E69" s="401"/>
      <c r="F69" s="146"/>
      <c r="G69" s="147" t="e">
        <f>SUM(G60:G68)</f>
        <v>#REF!</v>
      </c>
    </row>
    <row r="70" spans="1:7" x14ac:dyDescent="0.2">
      <c r="A70" s="117" t="s">
        <v>100</v>
      </c>
      <c r="B70" s="148"/>
      <c r="C70" s="149"/>
      <c r="D70" s="149"/>
      <c r="E70" s="149"/>
      <c r="F70" s="150"/>
      <c r="G70" s="265" t="e">
        <f>-C94</f>
        <v>#REF!</v>
      </c>
    </row>
    <row r="71" spans="1:7" x14ac:dyDescent="0.2">
      <c r="A71" s="117" t="s">
        <v>86</v>
      </c>
      <c r="B71" s="151"/>
      <c r="F71" s="47"/>
      <c r="G71" s="121" t="e">
        <f>-$C$91</f>
        <v>#REF!</v>
      </c>
    </row>
    <row r="72" spans="1:7" x14ac:dyDescent="0.2">
      <c r="A72" s="117" t="s">
        <v>83</v>
      </c>
      <c r="B72" s="151"/>
      <c r="F72" s="47"/>
      <c r="G72" s="124" t="e">
        <f>SUM(G69:G71)</f>
        <v>#REF!</v>
      </c>
    </row>
    <row r="73" spans="1:7" x14ac:dyDescent="0.2">
      <c r="A73" s="117" t="s">
        <v>24</v>
      </c>
      <c r="B73" s="151"/>
      <c r="E73" s="54"/>
      <c r="F73" s="47"/>
      <c r="G73" s="124"/>
    </row>
    <row r="74" spans="1:7" x14ac:dyDescent="0.2">
      <c r="A74" s="117" t="s">
        <v>4</v>
      </c>
      <c r="B74" s="151"/>
      <c r="E74" s="54"/>
      <c r="F74" s="47"/>
      <c r="G74" s="122" t="e">
        <f>G72+G73</f>
        <v>#REF!</v>
      </c>
    </row>
    <row r="75" spans="1:7" x14ac:dyDescent="0.2">
      <c r="A75" s="117" t="s">
        <v>87</v>
      </c>
      <c r="B75" s="151"/>
      <c r="F75" s="47"/>
      <c r="G75" s="126" t="e">
        <f>IF(G74&gt;A104,IF(G74&lt;&gt;"",VLOOKUP($G$74,$A$83:$C$87,2),""),"")</f>
        <v>#REF!</v>
      </c>
    </row>
    <row r="76" spans="1:7" x14ac:dyDescent="0.2">
      <c r="A76" s="117" t="s">
        <v>88</v>
      </c>
      <c r="B76" s="151"/>
      <c r="F76" s="47"/>
      <c r="G76" s="124" t="e">
        <f>IF(G75&lt;&gt;"",ROUND(G74*G75,2),"")</f>
        <v>#REF!</v>
      </c>
    </row>
    <row r="77" spans="1:7" x14ac:dyDescent="0.2">
      <c r="A77" s="117" t="s">
        <v>89</v>
      </c>
      <c r="B77" s="152"/>
      <c r="C77" s="42"/>
      <c r="D77" s="42"/>
      <c r="E77" s="42"/>
      <c r="F77" s="43"/>
      <c r="G77" s="128" t="e">
        <f>IF(G75&lt;&gt;"",VLOOKUP($G$74,$A$83:$C$87,3),"")</f>
        <v>#REF!</v>
      </c>
    </row>
    <row r="78" spans="1:7" ht="16.2" x14ac:dyDescent="0.2">
      <c r="A78" s="393" t="s">
        <v>90</v>
      </c>
      <c r="B78" s="394"/>
      <c r="C78" s="149"/>
      <c r="D78" s="149"/>
      <c r="E78" s="395"/>
      <c r="F78" s="396"/>
      <c r="G78" s="155" t="e">
        <f>IF(G75&lt;&gt;"",(G76-G77),"ISENTO")</f>
        <v>#REF!</v>
      </c>
    </row>
    <row r="79" spans="1:7" ht="12.75" customHeight="1" x14ac:dyDescent="0.2">
      <c r="A79" s="408"/>
      <c r="B79" s="409"/>
      <c r="C79" s="409"/>
      <c r="D79" s="409"/>
      <c r="E79" s="409"/>
      <c r="F79" s="409"/>
      <c r="G79" s="410"/>
    </row>
    <row r="80" spans="1:7" ht="16.2" x14ac:dyDescent="0.3">
      <c r="A80" s="411" t="s">
        <v>91</v>
      </c>
      <c r="B80" s="412"/>
      <c r="C80" s="413"/>
      <c r="G80" s="47"/>
    </row>
    <row r="81" spans="1:7" x14ac:dyDescent="0.2">
      <c r="A81" s="405" t="s">
        <v>92</v>
      </c>
      <c r="B81" s="406"/>
      <c r="C81" s="407"/>
      <c r="G81" s="47"/>
    </row>
    <row r="82" spans="1:7" x14ac:dyDescent="0.2">
      <c r="A82" s="305" t="s">
        <v>93</v>
      </c>
      <c r="B82" s="133" t="s">
        <v>0</v>
      </c>
      <c r="C82" s="134" t="s">
        <v>5</v>
      </c>
      <c r="G82" s="47"/>
    </row>
    <row r="83" spans="1:7" x14ac:dyDescent="0.2">
      <c r="A83" s="263" t="e">
        <f>VLOOKUP(data_calc,#REF!,2)</f>
        <v>#REF!</v>
      </c>
      <c r="B83" s="183" t="s">
        <v>101</v>
      </c>
      <c r="C83" s="266">
        <v>0</v>
      </c>
      <c r="G83" s="47"/>
    </row>
    <row r="84" spans="1:7" x14ac:dyDescent="0.2">
      <c r="A84" s="267" t="e">
        <f>A83+0.01</f>
        <v>#REF!</v>
      </c>
      <c r="B84" s="184" t="e">
        <f>VLOOKUP(data_calc,#REF!,3)</f>
        <v>#REF!</v>
      </c>
      <c r="C84" s="185" t="e">
        <f>VLOOKUP(data_calc,#REF!,4)</f>
        <v>#REF!</v>
      </c>
      <c r="G84" s="47"/>
    </row>
    <row r="85" spans="1:7" x14ac:dyDescent="0.2">
      <c r="A85" s="263" t="e">
        <f>VLOOKUP(data_calc,#REF!,5)+0.01</f>
        <v>#REF!</v>
      </c>
      <c r="B85" s="184" t="e">
        <f>VLOOKUP(data_calc,#REF!,6)</f>
        <v>#REF!</v>
      </c>
      <c r="C85" s="185" t="e">
        <f>VLOOKUP(data_calc,#REF!,7)</f>
        <v>#REF!</v>
      </c>
      <c r="G85" s="47"/>
    </row>
    <row r="86" spans="1:7" x14ac:dyDescent="0.2">
      <c r="A86" s="263" t="e">
        <f>VLOOKUP(data_calc,#REF!,8)+0.01</f>
        <v>#REF!</v>
      </c>
      <c r="B86" s="184" t="e">
        <f>VLOOKUP(data_calc,#REF!,9)</f>
        <v>#REF!</v>
      </c>
      <c r="C86" s="185" t="e">
        <f>VLOOKUP(data_calc,#REF!,10)</f>
        <v>#REF!</v>
      </c>
      <c r="G86" s="47"/>
    </row>
    <row r="87" spans="1:7" x14ac:dyDescent="0.2">
      <c r="A87" s="264" t="e">
        <f>VLOOKUP(data_calc,#REF!,11)+0.01</f>
        <v>#REF!</v>
      </c>
      <c r="B87" s="186" t="e">
        <f>VLOOKUP(data_calc,#REF!,12)</f>
        <v>#REF!</v>
      </c>
      <c r="C87" s="136" t="e">
        <f>VLOOKUP(data_calc,#REF!,13)</f>
        <v>#REF!</v>
      </c>
      <c r="G87" s="47"/>
    </row>
    <row r="88" spans="1:7" x14ac:dyDescent="0.2">
      <c r="A88" s="405" t="s">
        <v>6</v>
      </c>
      <c r="B88" s="406"/>
      <c r="C88" s="407"/>
      <c r="G88" s="47"/>
    </row>
    <row r="89" spans="1:7" x14ac:dyDescent="0.2">
      <c r="A89" s="137"/>
      <c r="B89" s="138" t="s">
        <v>94</v>
      </c>
      <c r="C89" s="139"/>
      <c r="G89" s="47"/>
    </row>
    <row r="90" spans="1:7" x14ac:dyDescent="0.2">
      <c r="A90" s="140" t="s">
        <v>95</v>
      </c>
      <c r="B90" s="125" t="s">
        <v>96</v>
      </c>
      <c r="C90" s="185" t="e">
        <f>VLOOKUP(data_calc,#REF!,32)</f>
        <v>#REF!</v>
      </c>
      <c r="G90" s="47"/>
    </row>
    <row r="91" spans="1:7" x14ac:dyDescent="0.2">
      <c r="A91" s="141"/>
      <c r="B91" s="142" t="s">
        <v>97</v>
      </c>
      <c r="C91" s="143" t="e">
        <f>C89*C90</f>
        <v>#REF!</v>
      </c>
      <c r="G91" s="47"/>
    </row>
    <row r="92" spans="1:7" x14ac:dyDescent="0.2">
      <c r="A92" s="268"/>
      <c r="B92" s="125" t="s">
        <v>98</v>
      </c>
      <c r="C92" s="269" t="e">
        <f>-#REF!</f>
        <v>#REF!</v>
      </c>
      <c r="G92" s="47"/>
    </row>
    <row r="93" spans="1:7" x14ac:dyDescent="0.2">
      <c r="A93" s="140" t="s">
        <v>2</v>
      </c>
      <c r="B93" s="74" t="s">
        <v>102</v>
      </c>
      <c r="C93" s="269" t="e">
        <f>#REF!</f>
        <v>#REF!</v>
      </c>
      <c r="G93" s="47"/>
    </row>
    <row r="94" spans="1:7" x14ac:dyDescent="0.2">
      <c r="A94" s="135"/>
      <c r="B94" s="144" t="s">
        <v>99</v>
      </c>
      <c r="C94" s="136" t="e">
        <f>#REF!</f>
        <v>#REF!</v>
      </c>
      <c r="D94" s="41"/>
      <c r="G94" s="47"/>
    </row>
    <row r="95" spans="1:7" ht="9.75" customHeight="1" x14ac:dyDescent="0.2">
      <c r="A95" s="304"/>
      <c r="B95" s="74"/>
      <c r="C95" s="159"/>
      <c r="G95" s="47"/>
    </row>
    <row r="96" spans="1:7" ht="9.75" customHeight="1" x14ac:dyDescent="0.2">
      <c r="A96" s="135"/>
      <c r="G96" s="43"/>
    </row>
    <row r="97" spans="1:7" ht="19.8" x14ac:dyDescent="0.35">
      <c r="A97" s="286" t="s">
        <v>61</v>
      </c>
      <c r="B97" s="158"/>
      <c r="C97" s="129"/>
      <c r="D97" s="129"/>
      <c r="E97" s="129"/>
      <c r="F97" s="129"/>
      <c r="G97" s="285" t="e">
        <f>IF(H55&gt;0,H55,"ISENTO")</f>
        <v>#REF!</v>
      </c>
    </row>
  </sheetData>
  <mergeCells count="22">
    <mergeCell ref="A24:F24"/>
    <mergeCell ref="C28:E28"/>
    <mergeCell ref="A33:B33"/>
    <mergeCell ref="A1:G1"/>
    <mergeCell ref="A2:G2"/>
    <mergeCell ref="A3:G3"/>
    <mergeCell ref="A4:F4"/>
    <mergeCell ref="E33:F33"/>
    <mergeCell ref="A81:C81"/>
    <mergeCell ref="A88:C88"/>
    <mergeCell ref="A58:G58"/>
    <mergeCell ref="A69:E69"/>
    <mergeCell ref="A78:B78"/>
    <mergeCell ref="E78:F78"/>
    <mergeCell ref="A79:G79"/>
    <mergeCell ref="A59:F59"/>
    <mergeCell ref="A80:C80"/>
    <mergeCell ref="A56:B56"/>
    <mergeCell ref="E56:F56"/>
    <mergeCell ref="A35:G35"/>
    <mergeCell ref="A47:E47"/>
    <mergeCell ref="A36:F36"/>
  </mergeCells>
  <phoneticPr fontId="2" type="noConversion"/>
  <pageMargins left="0.98425196850393704" right="0.39370078740157483" top="0.78740157480314965" bottom="0.98425196850393704" header="0.39370078740157483" footer="0.39370078740157483"/>
  <pageSetup paperSize="9" scale="5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9</vt:i4>
      </vt:variant>
    </vt:vector>
  </HeadingPairs>
  <TitlesOfParts>
    <vt:vector size="18" baseType="lpstr">
      <vt:lpstr>DADOS DE LIQUIDAÇÃO</vt:lpstr>
      <vt:lpstr>BUSCA</vt:lpstr>
      <vt:lpstr>LEVANTAMENTO DADOS</vt:lpstr>
      <vt:lpstr>DANOS MORAIS COM JUROS</vt:lpstr>
      <vt:lpstr>TABELA DE JUROS SELIC</vt:lpstr>
      <vt:lpstr>BASE DE CALCULO IR</vt:lpstr>
      <vt:lpstr>JUROS SOBRE IR</vt:lpstr>
      <vt:lpstr>IRR MES A MES  C_PROVENTOS</vt:lpstr>
      <vt:lpstr>IR TOTAL</vt:lpstr>
      <vt:lpstr>'BASE DE CALCULO IR'!Area_de_impressao</vt:lpstr>
      <vt:lpstr>'DADOS DE LIQUIDAÇÃO'!Area_de_impressao</vt:lpstr>
      <vt:lpstr>'DANOS MORAIS COM JUROS'!Area_de_impressao</vt:lpstr>
      <vt:lpstr>'IRR MES A MES  C_PROVENTOS'!Area_de_impressao</vt:lpstr>
      <vt:lpstr>'JUROS SOBRE IR'!Area_de_impressao</vt:lpstr>
      <vt:lpstr>'LEVANTAMENTO DADOS'!Area_de_impressao</vt:lpstr>
      <vt:lpstr>'BASE DE CALCULO IR'!Criterios</vt:lpstr>
      <vt:lpstr>'BASE DE CALCULO IR'!Titulos_de_impressao</vt:lpstr>
      <vt:lpstr>'LEVANTAMENTO DADOS'!Titulos_de_impressao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dc:description>modificada em junho-2007_x000d_
FONE 014 44 32342104 - ASTORGA PR</dc:description>
  <cp:lastModifiedBy>Ana Claudia Fernandes</cp:lastModifiedBy>
  <cp:lastPrinted>2018-01-09T16:22:20Z</cp:lastPrinted>
  <dcterms:created xsi:type="dcterms:W3CDTF">1998-08-10T08:03:02Z</dcterms:created>
  <dcterms:modified xsi:type="dcterms:W3CDTF">2025-07-21T23:22:25Z</dcterms:modified>
</cp:coreProperties>
</file>